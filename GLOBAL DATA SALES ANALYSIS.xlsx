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7DD58B35-207A-4F39-A621-1BE469906691}" xr6:coauthVersionLast="47" xr6:coauthVersionMax="47" xr10:uidLastSave="{00000000-0000-0000-0000-000000000000}"/>
  <bookViews>
    <workbookView xWindow="-120" yWindow="-120" windowWidth="20730" windowHeight="11160" activeTab="6" xr2:uid="{00000000-000D-0000-FFFF-FFFF00000000}"/>
  </bookViews>
  <sheets>
    <sheet name="RAW DATA" sheetId="1" r:id="rId1"/>
    <sheet name=" DATA CLEANING SALES" sheetId="3" r:id="rId2"/>
    <sheet name="Analisis Penjualan Tahunan-Bula" sheetId="8" r:id="rId3"/>
    <sheet name="Analisis Profitabilitas Produk" sheetId="5" r:id="rId4"/>
    <sheet name="Profit-Driving Countries" sheetId="6" r:id="rId5"/>
    <sheet name="Analisis Efisiensi Saluran" sheetId="7" r:id="rId6"/>
    <sheet name="Dashboard &amp; Key Report" sheetId="10" r:id="rId7"/>
  </sheets>
  <definedNames>
    <definedName name="NativeTimeline_Ship_Date">#N/A</definedName>
    <definedName name="Slicer_Country">#N/A</definedName>
    <definedName name="Slicer_Item_Type">#N/A</definedName>
    <definedName name="Slicer_Sales_Channel">#N/A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AA24" i="10" l="1"/>
  <c r="AA15" i="10"/>
  <c r="AA8" i="10"/>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2" i="3"/>
</calcChain>
</file>

<file path=xl/sharedStrings.xml><?xml version="1.0" encoding="utf-8"?>
<sst xmlns="http://schemas.openxmlformats.org/spreadsheetml/2006/main" count="956" uniqueCount="131">
  <si>
    <t>Country</t>
  </si>
  <si>
    <t>Item Type</t>
  </si>
  <si>
    <t>Sales Channel</t>
  </si>
  <si>
    <t>Order Priority</t>
  </si>
  <si>
    <t>Ship Date</t>
  </si>
  <si>
    <t>Unit Cost</t>
  </si>
  <si>
    <t>Total Revenue</t>
  </si>
  <si>
    <t>Total Profit</t>
  </si>
  <si>
    <t>Sales Expenses</t>
  </si>
  <si>
    <t>Tuvalu</t>
  </si>
  <si>
    <t>Baby Food</t>
  </si>
  <si>
    <t>Offline</t>
  </si>
  <si>
    <t>H</t>
  </si>
  <si>
    <t>Grenada</t>
  </si>
  <si>
    <t>Cereal</t>
  </si>
  <si>
    <t>Online</t>
  </si>
  <si>
    <t>C</t>
  </si>
  <si>
    <t>Russia</t>
  </si>
  <si>
    <t>Office Supplies</t>
  </si>
  <si>
    <t>L</t>
  </si>
  <si>
    <t>Sao Tome and Principe</t>
  </si>
  <si>
    <t>Fruits</t>
  </si>
  <si>
    <t>Rwanda</t>
  </si>
  <si>
    <t>Solomon Islands</t>
  </si>
  <si>
    <t>Angola</t>
  </si>
  <si>
    <t>Household</t>
  </si>
  <si>
    <t>M</t>
  </si>
  <si>
    <t>Burkina Faso</t>
  </si>
  <si>
    <t>Vegetables</t>
  </si>
  <si>
    <t>Republic of the Congo</t>
  </si>
  <si>
    <t>Personal Care</t>
  </si>
  <si>
    <t>Senegal</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</si>
  <si>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</si>
  <si>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</si>
  <si>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</si>
  <si>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</si>
  <si>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</si>
  <si>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</si>
  <si>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</si>
  <si>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</si>
  <si>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</si>
  <si>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</si>
  <si>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</si>
  <si>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</si>
  <si>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</si>
  <si>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</si>
  <si>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</si>
  <si>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</si>
  <si>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</si>
  <si>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</si>
  <si>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</si>
  <si>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</si>
  <si>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</si>
  <si>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</si>
  <si>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</si>
  <si>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</si>
  <si>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</si>
  <si>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</si>
  <si>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</si>
  <si>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</si>
  <si>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</si>
  <si>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</si>
  <si>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</si>
  <si>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</si>
  <si>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</si>
  <si>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</si>
  <si>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</si>
  <si>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</si>
  <si>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</si>
  <si>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</si>
  <si>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</si>
  <si>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</si>
  <si>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</si>
  <si>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</si>
  <si>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</si>
  <si>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</si>
  <si>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</si>
  <si>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</si>
  <si>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</si>
  <si>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</si>
  <si>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</si>
  <si>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</si>
  <si>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</si>
  <si>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</si>
  <si>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</si>
  <si>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</si>
  <si>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</si>
  <si>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</si>
  <si>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</si>
  <si>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</si>
  <si>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</si>
  <si>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</si>
  <si>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</si>
  <si>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</si>
  <si>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</si>
  <si>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</si>
  <si>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</si>
  <si>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</si>
  <si>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</si>
  <si>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</si>
  <si>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</si>
  <si>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</si>
  <si>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</si>
  <si>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Row Labels</t>
  </si>
  <si>
    <t>Grand Total</t>
  </si>
  <si>
    <t>Profit Margin</t>
  </si>
  <si>
    <t>Average of Profit Margin</t>
  </si>
  <si>
    <t>Sum of Total Revenue</t>
  </si>
  <si>
    <t>Sum of Total Profit</t>
  </si>
  <si>
    <t>Average of Total Profit</t>
  </si>
  <si>
    <t>Column Labels</t>
  </si>
  <si>
    <t>Oct</t>
  </si>
  <si>
    <t>Nov</t>
  </si>
  <si>
    <t>Jul</t>
  </si>
  <si>
    <t>Aug</t>
  </si>
  <si>
    <t>2013</t>
  </si>
  <si>
    <t>2014</t>
  </si>
  <si>
    <t>Apr</t>
  </si>
  <si>
    <t>2012</t>
  </si>
  <si>
    <t>2011</t>
  </si>
  <si>
    <t>Dec</t>
  </si>
  <si>
    <t>Jan</t>
  </si>
  <si>
    <t>Feb</t>
  </si>
  <si>
    <t>Mar</t>
  </si>
  <si>
    <t>May</t>
  </si>
  <si>
    <t>Jun</t>
  </si>
  <si>
    <t>Sep</t>
  </si>
  <si>
    <t>2010</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</si>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</sst>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Rp&quot;#,##0;[Red]\-&quot;Rp&quot;#,##0"/>
    <numFmt numFmtId="164" formatCode="&quot;Rp&quot;#,##0"/>
    <numFmt numFmtId="165" formatCode="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Arial"/>
      <family val="2"/>
    </font>
    <font>
      <b/>
      <sz val="2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6"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0" fillId="0" borderId="0" xfId="0" applyAlignment="1">
      <alignment horizontal="left" indent="1"/>
    </xf>
    <xf numFmtId="165" fontId="0" fillId="0" borderId="0" xfId="0" applyNumberFormat="1"/>
    <xf numFmtId="0" fontId="0" fillId="0" borderId="0" xfId="0" applyAlignment="1">
      <alignment horizontal="center" vertical="top"/>
    </xf>
    <xf numFmtId="14" fontId="0" fillId="0" borderId="0" xfId="0" applyNumberFormat="1" applyAlignment="1">
      <alignment horizontal="center" vertical="top"/>
    </xf>
    <xf numFmtId="3" fontId="0" fillId="0" borderId="0" xfId="0" applyNumberFormat="1" applyAlignment="1">
      <alignment horizontal="center" vertical="top"/>
    </xf>
    <xf numFmtId="164" fontId="0" fillId="0" borderId="0" xfId="0" applyNumberFormat="1" applyAlignment="1">
      <alignment horizontal="center" vertical="top"/>
    </xf>
    <xf numFmtId="10" fontId="0" fillId="0" borderId="0" xfId="42" applyNumberFormat="1" applyFont="1"/>
    <xf numFmtId="2" fontId="0" fillId="0" borderId="0" xfId="0" applyNumberFormat="1" applyAlignment="1">
      <alignment horizontal="center" vertical="top"/>
    </xf>
    <xf numFmtId="2" fontId="0" fillId="0" borderId="0" xfId="0" applyNumberFormat="1"/>
    <xf numFmtId="9" fontId="0" fillId="0" borderId="0" xfId="0" applyNumberFormat="1"/>
    <xf numFmtId="164" fontId="19" fillId="0" borderId="0" xfId="0" applyNumberFormat="1" applyFont="1" applyAlignment="1">
      <alignment horizontal="center"/>
    </xf>
    <xf numFmtId="10" fontId="19" fillId="0" borderId="0" xfId="42" applyNumberFormat="1" applyFont="1" applyAlignment="1">
      <alignment horizontal="center" vertical="top"/>
    </xf>
    <xf numFmtId="164" fontId="18" fillId="0" borderId="0" xfId="0" applyNumberFormat="1" applyFont="1" applyAlignment="1">
      <alignment horizontal="center"/>
    </xf>
    <xf numFmtId="0" fontId="19" fillId="0" borderId="0" xfId="0" applyFont="1" applyAlignment="1">
      <alignment horizontal="center"/>
    </xf>
    <xf numFmtId="164" fontId="19" fillId="0" borderId="0" xfId="0" applyNumberFormat="1"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numFmt numFmtId="2" formatCode="0.00"/>
    </dxf>
    <dxf>
      <numFmt numFmtId="164" formatCode="&quot;Rp&quot;#,##0"/>
    </dxf>
    <dxf>
      <numFmt numFmtId="164" formatCode="&quot;Rp&quot;#,##0"/>
    </dxf>
    <dxf>
      <numFmt numFmtId="164" formatCode="&quot;Rp&quot;#,##0"/>
    </dxf>
    <dxf>
      <numFmt numFmtId="164" formatCode="&quot;Rp&quot;#,##0"/>
    </dxf>
    <dxf>
      <numFmt numFmtId="19" formatCode="dd/mm/yyyy"/>
    </dxf>
    <dxf>
      <numFmt numFmtId="13" formatCode="0%"/>
    </dxf>
    <dxf>
      <numFmt numFmtId="2" formatCode="0.00"/>
      <alignment horizontal="center" vertical="top" textRotation="0" wrapText="0" indent="0" justifyLastLine="0" shrinkToFit="0" readingOrder="0"/>
    </dxf>
    <dxf>
      <numFmt numFmtId="164" formatCode="&quot;Rp&quot;#,##0"/>
      <alignment horizontal="center" vertical="top" textRotation="0" wrapText="0" indent="0" justifyLastLine="0" shrinkToFit="0" readingOrder="0"/>
    </dxf>
    <dxf>
      <numFmt numFmtId="164" formatCode="&quot;Rp&quot;#,##0"/>
      <alignment horizontal="center" vertical="top" textRotation="0" wrapText="0" indent="0" justifyLastLine="0" shrinkToFit="0" readingOrder="0"/>
    </dxf>
    <dxf>
      <numFmt numFmtId="164" formatCode="&quot;Rp&quot;#,##0"/>
      <alignment horizontal="center" vertical="top" textRotation="0" wrapText="0" indent="0" justifyLastLine="0" shrinkToFit="0" readingOrder="0"/>
    </dxf>
    <dxf>
      <numFmt numFmtId="164" formatCode="&quot;Rp&quot;#,##0"/>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ANALYSIS.xlsx]Analisis Penjualan Tahunan-Bula!PivotTable4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Analisis Penjualan Tahunan-Bulanan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Penjualan Tahunan-Bula'!$B$9</c:f>
              <c:strCache>
                <c:ptCount val="1"/>
                <c:pt idx="0">
                  <c:v>Sum of Total Profit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'Analisis Penjualan Tahunan-Bula'!$A$10:$A$84</c:f>
              <c:multiLvlStrCache>
                <c:ptCount val="66"/>
                <c:lvl>
                  <c:pt idx="0">
                    <c:v>Jan</c:v>
                  </c:pt>
                  <c:pt idx="1">
                    <c:v>Feb</c:v>
                  </c:pt>
                  <c:pt idx="2">
                    <c:v>Mar</c:v>
                  </c:pt>
                  <c:pt idx="3">
                    <c:v>Jun</c:v>
                  </c:pt>
                  <c:pt idx="4">
                    <c:v>Oct</c:v>
                  </c:pt>
                  <c:pt idx="5">
                    <c:v>Nov</c:v>
                  </c:pt>
                  <c:pt idx="6">
                    <c:v>Dec</c:v>
                  </c:pt>
                  <c:pt idx="7">
                    <c:v>Jan</c:v>
                  </c:pt>
                  <c:pt idx="8">
                    <c:v>Mar</c:v>
                  </c:pt>
                  <c:pt idx="9">
                    <c:v>Apr</c:v>
                  </c:pt>
                  <c:pt idx="10">
                    <c:v>May</c:v>
                  </c:pt>
                  <c:pt idx="11">
                    <c:v>Jul</c:v>
                  </c:pt>
                  <c:pt idx="12">
                    <c:v>Oct</c:v>
                  </c:pt>
                  <c:pt idx="13">
                    <c:v>Nov</c:v>
                  </c:pt>
                  <c:pt idx="14">
                    <c:v>Dec</c:v>
                  </c:pt>
                  <c:pt idx="15">
                    <c:v>Jan</c:v>
                  </c:pt>
                  <c:pt idx="16">
                    <c:v>Feb</c:v>
                  </c:pt>
                  <c:pt idx="17">
                    <c:v>Mar</c:v>
                  </c:pt>
                  <c:pt idx="18">
                    <c:v>May</c:v>
                  </c:pt>
                  <c:pt idx="19">
                    <c:v>Jun</c:v>
                  </c:pt>
                  <c:pt idx="20">
                    <c:v>Jul</c:v>
                  </c:pt>
                  <c:pt idx="21">
                    <c:v>Aug</c:v>
                  </c:pt>
                  <c:pt idx="22">
                    <c:v>Sep</c:v>
                  </c:pt>
                  <c:pt idx="23">
                    <c:v>Oct</c:v>
                  </c:pt>
                  <c:pt idx="24">
                    <c:v>Nov</c:v>
                  </c:pt>
                  <c:pt idx="25">
                    <c:v>Jan</c:v>
                  </c:pt>
                  <c:pt idx="26">
                    <c:v>Feb</c:v>
                  </c:pt>
                  <c:pt idx="27">
                    <c:v>Mar</c:v>
                  </c:pt>
                  <c:pt idx="28">
                    <c:v>May</c:v>
                  </c:pt>
                  <c:pt idx="29">
                    <c:v>Jun</c:v>
                  </c:pt>
                  <c:pt idx="30">
                    <c:v>Jul</c:v>
                  </c:pt>
                  <c:pt idx="31">
                    <c:v>Aug</c:v>
                  </c:pt>
                  <c:pt idx="32">
                    <c:v>Sep</c:v>
                  </c:pt>
                  <c:pt idx="33">
                    <c:v>Oct</c:v>
                  </c:pt>
                  <c:pt idx="34">
                    <c:v>Nov</c:v>
                  </c:pt>
                  <c:pt idx="35">
                    <c:v>Jan</c:v>
                  </c:pt>
                  <c:pt idx="36">
                    <c:v>Feb</c:v>
                  </c:pt>
                  <c:pt idx="37">
                    <c:v>Mar</c:v>
                  </c:pt>
                  <c:pt idx="38">
                    <c:v>Apr</c:v>
                  </c:pt>
                  <c:pt idx="39">
                    <c:v>May</c:v>
                  </c:pt>
                  <c:pt idx="40">
                    <c:v>Jun</c:v>
                  </c:pt>
                  <c:pt idx="41">
                    <c:v>Jul</c:v>
                  </c:pt>
                  <c:pt idx="42">
                    <c:v>Aug</c:v>
                  </c:pt>
                  <c:pt idx="43">
                    <c:v>Oct</c:v>
                  </c:pt>
                  <c:pt idx="44">
                    <c:v>Nov</c:v>
                  </c:pt>
                  <c:pt idx="45">
                    <c:v>Dec</c:v>
                  </c:pt>
                  <c:pt idx="46">
                    <c:v>Jan</c:v>
                  </c:pt>
                  <c:pt idx="47">
                    <c:v>Feb</c:v>
                  </c:pt>
                  <c:pt idx="48">
                    <c:v>Mar</c:v>
                  </c:pt>
                  <c:pt idx="49">
                    <c:v>Apr</c:v>
                  </c:pt>
                  <c:pt idx="50">
                    <c:v>May</c:v>
                  </c:pt>
                  <c:pt idx="51">
                    <c:v>Aug</c:v>
                  </c:pt>
                  <c:pt idx="52">
                    <c:v>Sep</c:v>
                  </c:pt>
                  <c:pt idx="53">
                    <c:v>Nov</c:v>
                  </c:pt>
                  <c:pt idx="54">
                    <c:v>Apr</c:v>
                  </c:pt>
                  <c:pt idx="55">
                    <c:v>Jun</c:v>
                  </c:pt>
                  <c:pt idx="56">
                    <c:v>Jul</c:v>
                  </c:pt>
                  <c:pt idx="57">
                    <c:v>Aug</c:v>
                  </c:pt>
                  <c:pt idx="58">
                    <c:v>Oct</c:v>
                  </c:pt>
                  <c:pt idx="59">
                    <c:v>Nov</c:v>
                  </c:pt>
                  <c:pt idx="60">
                    <c:v>Dec</c:v>
                  </c:pt>
                  <c:pt idx="61">
                    <c:v>Jan</c:v>
                  </c:pt>
                  <c:pt idx="62">
                    <c:v>Feb</c:v>
                  </c:pt>
                  <c:pt idx="63">
                    <c:v>Mar</c:v>
                  </c:pt>
                  <c:pt idx="64">
                    <c:v>May</c:v>
                  </c:pt>
                  <c:pt idx="65">
                    <c:v>Jun</c:v>
                  </c:pt>
                </c:lvl>
                <c:lvl>
                  <c:pt idx="0">
                    <c:v>2010</c:v>
                  </c:pt>
                  <c:pt idx="7">
                    <c:v>2011</c:v>
                  </c:pt>
                  <c:pt idx="15">
                    <c:v>2012</c:v>
                  </c:pt>
                  <c:pt idx="25">
                    <c:v>2013</c:v>
                  </c:pt>
                  <c:pt idx="35">
                    <c:v>2014</c:v>
                  </c:pt>
                  <c:pt idx="46">
                    <c:v>2015</c:v>
                  </c:pt>
                  <c:pt idx="54">
                    <c:v>2016</c:v>
                  </c:pt>
                  <c:pt idx="61">
                    <c:v>2017</c:v>
                  </c:pt>
                </c:lvl>
              </c:multiLvlStrCache>
            </c:multiLvlStrRef>
          </c:cat>
          <c:val>
            <c:numRef>
              <c:f>'Analisis Penjualan Tahunan-Bula'!$B$10:$B$84</c:f>
              <c:numCache>
                <c:formatCode>General</c:formatCode>
                <c:ptCount val="66"/>
                <c:pt idx="0">
                  <c:v>7274232</c:v>
                </c:pt>
                <c:pt idx="1">
                  <c:v>125777558</c:v>
                </c:pt>
                <c:pt idx="2">
                  <c:v>16663536</c:v>
                </c:pt>
                <c:pt idx="3">
                  <c:v>9514105</c:v>
                </c:pt>
                <c:pt idx="4">
                  <c:v>1403102</c:v>
                </c:pt>
                <c:pt idx="5">
                  <c:v>149539279</c:v>
                </c:pt>
                <c:pt idx="6">
                  <c:v>13753117</c:v>
                </c:pt>
                <c:pt idx="7">
                  <c:v>20857811</c:v>
                </c:pt>
                <c:pt idx="8">
                  <c:v>20205712</c:v>
                </c:pt>
                <c:pt idx="9">
                  <c:v>69391151</c:v>
                </c:pt>
                <c:pt idx="10">
                  <c:v>2252469</c:v>
                </c:pt>
                <c:pt idx="11">
                  <c:v>8990406</c:v>
                </c:pt>
                <c:pt idx="12">
                  <c:v>23560116</c:v>
                </c:pt>
                <c:pt idx="13">
                  <c:v>6966475</c:v>
                </c:pt>
                <c:pt idx="14">
                  <c:v>2293159</c:v>
                </c:pt>
                <c:pt idx="15">
                  <c:v>1598325</c:v>
                </c:pt>
                <c:pt idx="16">
                  <c:v>226530556</c:v>
                </c:pt>
                <c:pt idx="17">
                  <c:v>28380044</c:v>
                </c:pt>
                <c:pt idx="18">
                  <c:v>125802</c:v>
                </c:pt>
                <c:pt idx="19">
                  <c:v>25571808</c:v>
                </c:pt>
                <c:pt idx="20">
                  <c:v>160944457</c:v>
                </c:pt>
                <c:pt idx="21">
                  <c:v>77501484</c:v>
                </c:pt>
                <c:pt idx="22">
                  <c:v>50460373</c:v>
                </c:pt>
                <c:pt idx="23">
                  <c:v>151668330</c:v>
                </c:pt>
                <c:pt idx="24">
                  <c:v>78173325</c:v>
                </c:pt>
                <c:pt idx="25">
                  <c:v>455335</c:v>
                </c:pt>
                <c:pt idx="26">
                  <c:v>6041838</c:v>
                </c:pt>
                <c:pt idx="27">
                  <c:v>35994117</c:v>
                </c:pt>
                <c:pt idx="28">
                  <c:v>6325125</c:v>
                </c:pt>
                <c:pt idx="29">
                  <c:v>6390775</c:v>
                </c:pt>
                <c:pt idx="30">
                  <c:v>167854098</c:v>
                </c:pt>
                <c:pt idx="31">
                  <c:v>171992204</c:v>
                </c:pt>
                <c:pt idx="32">
                  <c:v>2315046</c:v>
                </c:pt>
                <c:pt idx="33">
                  <c:v>1840517</c:v>
                </c:pt>
                <c:pt idx="34">
                  <c:v>107486434</c:v>
                </c:pt>
                <c:pt idx="35">
                  <c:v>532525</c:v>
                </c:pt>
                <c:pt idx="36">
                  <c:v>12281906</c:v>
                </c:pt>
                <c:pt idx="37">
                  <c:v>53288574</c:v>
                </c:pt>
                <c:pt idx="38">
                  <c:v>125974272</c:v>
                </c:pt>
                <c:pt idx="39">
                  <c:v>60359969</c:v>
                </c:pt>
                <c:pt idx="40">
                  <c:v>714157</c:v>
                </c:pt>
                <c:pt idx="41">
                  <c:v>8024184</c:v>
                </c:pt>
                <c:pt idx="42">
                  <c:v>53069667</c:v>
                </c:pt>
                <c:pt idx="43">
                  <c:v>1300918</c:v>
                </c:pt>
                <c:pt idx="44">
                  <c:v>86982336</c:v>
                </c:pt>
                <c:pt idx="45">
                  <c:v>115248642</c:v>
                </c:pt>
                <c:pt idx="46">
                  <c:v>13672725</c:v>
                </c:pt>
                <c:pt idx="47">
                  <c:v>78009553</c:v>
                </c:pt>
                <c:pt idx="48">
                  <c:v>12202978</c:v>
                </c:pt>
                <c:pt idx="49">
                  <c:v>850338</c:v>
                </c:pt>
                <c:pt idx="50">
                  <c:v>53919648</c:v>
                </c:pt>
                <c:pt idx="51">
                  <c:v>15973244</c:v>
                </c:pt>
                <c:pt idx="52">
                  <c:v>162193</c:v>
                </c:pt>
                <c:pt idx="53">
                  <c:v>4724147</c:v>
                </c:pt>
                <c:pt idx="54">
                  <c:v>8522358</c:v>
                </c:pt>
                <c:pt idx="55">
                  <c:v>9374805</c:v>
                </c:pt>
                <c:pt idx="56">
                  <c:v>41604177</c:v>
                </c:pt>
                <c:pt idx="57">
                  <c:v>112824243</c:v>
                </c:pt>
                <c:pt idx="58">
                  <c:v>1270542</c:v>
                </c:pt>
                <c:pt idx="59">
                  <c:v>729756</c:v>
                </c:pt>
                <c:pt idx="60">
                  <c:v>275164638</c:v>
                </c:pt>
                <c:pt idx="61">
                  <c:v>63410196</c:v>
                </c:pt>
                <c:pt idx="62">
                  <c:v>189127180</c:v>
                </c:pt>
                <c:pt idx="63">
                  <c:v>755559</c:v>
                </c:pt>
                <c:pt idx="64">
                  <c:v>47618359</c:v>
                </c:pt>
                <c:pt idx="65">
                  <c:v>76683504</c:v>
                </c:pt>
              </c:numCache>
            </c:numRef>
          </c:val>
          <c:smooth val="0"/>
          <c:extLst>
            <c:ext xmlns:c16="http://schemas.microsoft.com/office/drawing/2014/chart" uri="{C3380CC4-5D6E-409C-BE32-E72D297353CC}">
              <c16:uniqueId val="{00000000-AC54-40F7-AD0B-3B07D01F94F0}"/>
            </c:ext>
          </c:extLst>
        </c:ser>
        <c:ser>
          <c:idx val="1"/>
          <c:order val="1"/>
          <c:tx>
            <c:strRef>
              <c:f>'Analisis Penjualan Tahunan-Bula'!$C$9</c:f>
              <c:strCache>
                <c:ptCount val="1"/>
                <c:pt idx="0">
                  <c:v>Sum of Total Revenue</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'Analisis Penjualan Tahunan-Bula'!$A$10:$A$84</c:f>
              <c:multiLvlStrCache>
                <c:ptCount val="66"/>
                <c:lvl>
                  <c:pt idx="0">
                    <c:v>Jan</c:v>
                  </c:pt>
                  <c:pt idx="1">
                    <c:v>Feb</c:v>
                  </c:pt>
                  <c:pt idx="2">
                    <c:v>Mar</c:v>
                  </c:pt>
                  <c:pt idx="3">
                    <c:v>Jun</c:v>
                  </c:pt>
                  <c:pt idx="4">
                    <c:v>Oct</c:v>
                  </c:pt>
                  <c:pt idx="5">
                    <c:v>Nov</c:v>
                  </c:pt>
                  <c:pt idx="6">
                    <c:v>Dec</c:v>
                  </c:pt>
                  <c:pt idx="7">
                    <c:v>Jan</c:v>
                  </c:pt>
                  <c:pt idx="8">
                    <c:v>Mar</c:v>
                  </c:pt>
                  <c:pt idx="9">
                    <c:v>Apr</c:v>
                  </c:pt>
                  <c:pt idx="10">
                    <c:v>May</c:v>
                  </c:pt>
                  <c:pt idx="11">
                    <c:v>Jul</c:v>
                  </c:pt>
                  <c:pt idx="12">
                    <c:v>Oct</c:v>
                  </c:pt>
                  <c:pt idx="13">
                    <c:v>Nov</c:v>
                  </c:pt>
                  <c:pt idx="14">
                    <c:v>Dec</c:v>
                  </c:pt>
                  <c:pt idx="15">
                    <c:v>Jan</c:v>
                  </c:pt>
                  <c:pt idx="16">
                    <c:v>Feb</c:v>
                  </c:pt>
                  <c:pt idx="17">
                    <c:v>Mar</c:v>
                  </c:pt>
                  <c:pt idx="18">
                    <c:v>May</c:v>
                  </c:pt>
                  <c:pt idx="19">
                    <c:v>Jun</c:v>
                  </c:pt>
                  <c:pt idx="20">
                    <c:v>Jul</c:v>
                  </c:pt>
                  <c:pt idx="21">
                    <c:v>Aug</c:v>
                  </c:pt>
                  <c:pt idx="22">
                    <c:v>Sep</c:v>
                  </c:pt>
                  <c:pt idx="23">
                    <c:v>Oct</c:v>
                  </c:pt>
                  <c:pt idx="24">
                    <c:v>Nov</c:v>
                  </c:pt>
                  <c:pt idx="25">
                    <c:v>Jan</c:v>
                  </c:pt>
                  <c:pt idx="26">
                    <c:v>Feb</c:v>
                  </c:pt>
                  <c:pt idx="27">
                    <c:v>Mar</c:v>
                  </c:pt>
                  <c:pt idx="28">
                    <c:v>May</c:v>
                  </c:pt>
                  <c:pt idx="29">
                    <c:v>Jun</c:v>
                  </c:pt>
                  <c:pt idx="30">
                    <c:v>Jul</c:v>
                  </c:pt>
                  <c:pt idx="31">
                    <c:v>Aug</c:v>
                  </c:pt>
                  <c:pt idx="32">
                    <c:v>Sep</c:v>
                  </c:pt>
                  <c:pt idx="33">
                    <c:v>Oct</c:v>
                  </c:pt>
                  <c:pt idx="34">
                    <c:v>Nov</c:v>
                  </c:pt>
                  <c:pt idx="35">
                    <c:v>Jan</c:v>
                  </c:pt>
                  <c:pt idx="36">
                    <c:v>Feb</c:v>
                  </c:pt>
                  <c:pt idx="37">
                    <c:v>Mar</c:v>
                  </c:pt>
                  <c:pt idx="38">
                    <c:v>Apr</c:v>
                  </c:pt>
                  <c:pt idx="39">
                    <c:v>May</c:v>
                  </c:pt>
                  <c:pt idx="40">
                    <c:v>Jun</c:v>
                  </c:pt>
                  <c:pt idx="41">
                    <c:v>Jul</c:v>
                  </c:pt>
                  <c:pt idx="42">
                    <c:v>Aug</c:v>
                  </c:pt>
                  <c:pt idx="43">
                    <c:v>Oct</c:v>
                  </c:pt>
                  <c:pt idx="44">
                    <c:v>Nov</c:v>
                  </c:pt>
                  <c:pt idx="45">
                    <c:v>Dec</c:v>
                  </c:pt>
                  <c:pt idx="46">
                    <c:v>Jan</c:v>
                  </c:pt>
                  <c:pt idx="47">
                    <c:v>Feb</c:v>
                  </c:pt>
                  <c:pt idx="48">
                    <c:v>Mar</c:v>
                  </c:pt>
                  <c:pt idx="49">
                    <c:v>Apr</c:v>
                  </c:pt>
                  <c:pt idx="50">
                    <c:v>May</c:v>
                  </c:pt>
                  <c:pt idx="51">
                    <c:v>Aug</c:v>
                  </c:pt>
                  <c:pt idx="52">
                    <c:v>Sep</c:v>
                  </c:pt>
                  <c:pt idx="53">
                    <c:v>Nov</c:v>
                  </c:pt>
                  <c:pt idx="54">
                    <c:v>Apr</c:v>
                  </c:pt>
                  <c:pt idx="55">
                    <c:v>Jun</c:v>
                  </c:pt>
                  <c:pt idx="56">
                    <c:v>Jul</c:v>
                  </c:pt>
                  <c:pt idx="57">
                    <c:v>Aug</c:v>
                  </c:pt>
                  <c:pt idx="58">
                    <c:v>Oct</c:v>
                  </c:pt>
                  <c:pt idx="59">
                    <c:v>Nov</c:v>
                  </c:pt>
                  <c:pt idx="60">
                    <c:v>Dec</c:v>
                  </c:pt>
                  <c:pt idx="61">
                    <c:v>Jan</c:v>
                  </c:pt>
                  <c:pt idx="62">
                    <c:v>Feb</c:v>
                  </c:pt>
                  <c:pt idx="63">
                    <c:v>Mar</c:v>
                  </c:pt>
                  <c:pt idx="64">
                    <c:v>May</c:v>
                  </c:pt>
                  <c:pt idx="65">
                    <c:v>Jun</c:v>
                  </c:pt>
                </c:lvl>
                <c:lvl>
                  <c:pt idx="0">
                    <c:v>2010</c:v>
                  </c:pt>
                  <c:pt idx="7">
                    <c:v>2011</c:v>
                  </c:pt>
                  <c:pt idx="15">
                    <c:v>2012</c:v>
                  </c:pt>
                  <c:pt idx="25">
                    <c:v>2013</c:v>
                  </c:pt>
                  <c:pt idx="35">
                    <c:v>2014</c:v>
                  </c:pt>
                  <c:pt idx="46">
                    <c:v>2015</c:v>
                  </c:pt>
                  <c:pt idx="54">
                    <c:v>2016</c:v>
                  </c:pt>
                  <c:pt idx="61">
                    <c:v>2017</c:v>
                  </c:pt>
                </c:lvl>
              </c:multiLvlStrCache>
            </c:multiLvlStrRef>
          </c:cat>
          <c:val>
            <c:numRef>
              <c:f>'Analisis Penjualan Tahunan-Bula'!$C$10:$C$84</c:f>
              <c:numCache>
                <c:formatCode>General</c:formatCode>
                <c:ptCount val="66"/>
                <c:pt idx="0">
                  <c:v>10824184</c:v>
                </c:pt>
                <c:pt idx="1">
                  <c:v>316027048</c:v>
                </c:pt>
                <c:pt idx="2">
                  <c:v>24795632</c:v>
                </c:pt>
                <c:pt idx="3">
                  <c:v>25336540</c:v>
                </c:pt>
                <c:pt idx="4">
                  <c:v>5431926</c:v>
                </c:pt>
                <c:pt idx="5">
                  <c:v>606493375</c:v>
                </c:pt>
                <c:pt idx="6">
                  <c:v>34958252</c:v>
                </c:pt>
                <c:pt idx="7">
                  <c:v>69719575</c:v>
                </c:pt>
                <c:pt idx="8">
                  <c:v>52204558</c:v>
                </c:pt>
                <c:pt idx="9">
                  <c:v>279804649</c:v>
                </c:pt>
                <c:pt idx="10">
                  <c:v>6232893</c:v>
                </c:pt>
                <c:pt idx="11">
                  <c:v>27241045</c:v>
                </c:pt>
                <c:pt idx="12">
                  <c:v>57495192</c:v>
                </c:pt>
                <c:pt idx="13">
                  <c:v>359337678</c:v>
                </c:pt>
                <c:pt idx="14">
                  <c:v>7757455</c:v>
                </c:pt>
                <c:pt idx="15">
                  <c:v>82443186</c:v>
                </c:pt>
                <c:pt idx="16">
                  <c:v>857041342</c:v>
                </c:pt>
                <c:pt idx="17">
                  <c:v>70769550</c:v>
                </c:pt>
                <c:pt idx="18">
                  <c:v>487026</c:v>
                </c:pt>
                <c:pt idx="19">
                  <c:v>38051296</c:v>
                </c:pt>
                <c:pt idx="20">
                  <c:v>580720672</c:v>
                </c:pt>
                <c:pt idx="21">
                  <c:v>566042689</c:v>
                </c:pt>
                <c:pt idx="22">
                  <c:v>144261767</c:v>
                </c:pt>
                <c:pt idx="23">
                  <c:v>373500318</c:v>
                </c:pt>
                <c:pt idx="24">
                  <c:v>550842863</c:v>
                </c:pt>
                <c:pt idx="25">
                  <c:v>1212580</c:v>
                </c:pt>
                <c:pt idx="26">
                  <c:v>10402874</c:v>
                </c:pt>
                <c:pt idx="27">
                  <c:v>80357591</c:v>
                </c:pt>
                <c:pt idx="28">
                  <c:v>32625621</c:v>
                </c:pt>
                <c:pt idx="29">
                  <c:v>329642502</c:v>
                </c:pt>
                <c:pt idx="30">
                  <c:v>420207288</c:v>
                </c:pt>
                <c:pt idx="31">
                  <c:v>430247824</c:v>
                </c:pt>
                <c:pt idx="32">
                  <c:v>8962398</c:v>
                </c:pt>
                <c:pt idx="33">
                  <c:v>7125321</c:v>
                </c:pt>
                <c:pt idx="34">
                  <c:v>171028170</c:v>
                </c:pt>
                <c:pt idx="35">
                  <c:v>17367625</c:v>
                </c:pt>
                <c:pt idx="36">
                  <c:v>40055873</c:v>
                </c:pt>
                <c:pt idx="37">
                  <c:v>141910152</c:v>
                </c:pt>
                <c:pt idx="38">
                  <c:v>312094869</c:v>
                </c:pt>
                <c:pt idx="39">
                  <c:v>142620967</c:v>
                </c:pt>
                <c:pt idx="40">
                  <c:v>1901836</c:v>
                </c:pt>
                <c:pt idx="41">
                  <c:v>24313380</c:v>
                </c:pt>
                <c:pt idx="42">
                  <c:v>161398163</c:v>
                </c:pt>
                <c:pt idx="43">
                  <c:v>5036334</c:v>
                </c:pt>
                <c:pt idx="44">
                  <c:v>174751536</c:v>
                </c:pt>
                <c:pt idx="45">
                  <c:v>464714958</c:v>
                </c:pt>
                <c:pt idx="46">
                  <c:v>55132275</c:v>
                </c:pt>
                <c:pt idx="47">
                  <c:v>199967356</c:v>
                </c:pt>
                <c:pt idx="48">
                  <c:v>32497144</c:v>
                </c:pt>
                <c:pt idx="49">
                  <c:v>2576535</c:v>
                </c:pt>
                <c:pt idx="50">
                  <c:v>80233376</c:v>
                </c:pt>
                <c:pt idx="51">
                  <c:v>52094702</c:v>
                </c:pt>
                <c:pt idx="52">
                  <c:v>627909</c:v>
                </c:pt>
                <c:pt idx="53">
                  <c:v>196894108</c:v>
                </c:pt>
                <c:pt idx="54">
                  <c:v>19780834</c:v>
                </c:pt>
                <c:pt idx="55">
                  <c:v>22987791</c:v>
                </c:pt>
                <c:pt idx="56">
                  <c:v>63477049</c:v>
                </c:pt>
                <c:pt idx="57">
                  <c:v>280369908</c:v>
                </c:pt>
                <c:pt idx="58">
                  <c:v>4143711</c:v>
                </c:pt>
                <c:pt idx="59">
                  <c:v>2201117</c:v>
                </c:pt>
                <c:pt idx="60">
                  <c:v>751895376</c:v>
                </c:pt>
                <c:pt idx="61">
                  <c:v>291413027</c:v>
                </c:pt>
                <c:pt idx="62">
                  <c:v>711500864</c:v>
                </c:pt>
                <c:pt idx="63">
                  <c:v>24641595</c:v>
                </c:pt>
                <c:pt idx="64">
                  <c:v>131732557</c:v>
                </c:pt>
                <c:pt idx="65">
                  <c:v>170805392</c:v>
                </c:pt>
              </c:numCache>
            </c:numRef>
          </c:val>
          <c:smooth val="0"/>
          <c:extLst>
            <c:ext xmlns:c16="http://schemas.microsoft.com/office/drawing/2014/chart" uri="{C3380CC4-5D6E-409C-BE32-E72D297353CC}">
              <c16:uniqueId val="{00000001-AC54-40F7-AD0B-3B07D01F94F0}"/>
            </c:ext>
          </c:extLst>
        </c:ser>
        <c:dLbls>
          <c:dLblPos val="ctr"/>
          <c:showLegendKey val="0"/>
          <c:showVal val="1"/>
          <c:showCatName val="0"/>
          <c:showSerName val="0"/>
          <c:showPercent val="0"/>
          <c:showBubbleSize val="0"/>
        </c:dLbls>
        <c:marker val="1"/>
        <c:smooth val="0"/>
        <c:axId val="431886528"/>
        <c:axId val="431882264"/>
      </c:lineChart>
      <c:catAx>
        <c:axId val="4318865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882264"/>
        <c:crosses val="autoZero"/>
        <c:auto val="1"/>
        <c:lblAlgn val="ctr"/>
        <c:lblOffset val="100"/>
        <c:noMultiLvlLbl val="0"/>
      </c:catAx>
      <c:valAx>
        <c:axId val="4318822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88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ANALYSIS.xlsx]Analisis Profitabilitas Produk!PivotTable1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Profitabilitas Produk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Profitabilitas Produk'!$B$9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'Analisis Profitabilitas Produk'!$A$10:$A$22</c:f>
              <c:strCache>
                <c:ptCount val="12"/>
                <c:pt idx="0">
                  <c:v>Clothes</c:v>
                </c:pt>
                <c:pt idx="1">
                  <c:v>Cereal</c:v>
                </c:pt>
                <c:pt idx="2">
                  <c:v>Cosmetics</c:v>
                </c:pt>
                <c:pt idx="3">
                  <c:v>Vegetables</c:v>
                </c:pt>
                <c:pt idx="4">
                  <c:v>Baby Food</c:v>
                </c:pt>
                <c:pt idx="5">
                  <c:v>Snacks</c:v>
                </c:pt>
                <c:pt idx="6">
                  <c:v>Beverages</c:v>
                </c:pt>
                <c:pt idx="7">
                  <c:v>Fruits</c:v>
                </c:pt>
                <c:pt idx="8">
                  <c:v>Personal Care</c:v>
                </c:pt>
                <c:pt idx="9">
                  <c:v>Household</c:v>
                </c:pt>
                <c:pt idx="10">
                  <c:v>Office Supplies</c:v>
                </c:pt>
                <c:pt idx="11">
                  <c:v>Meat</c:v>
                </c:pt>
              </c:strCache>
            </c:strRef>
          </c:cat>
          <c:val>
            <c:numRef>
              <c:f>'Analisis Profitabilitas Produk'!$B$10:$B$22</c:f>
              <c:numCache>
                <c:formatCode>0%</c:formatCode>
                <c:ptCount val="12"/>
                <c:pt idx="0">
                  <c:v>0.67203513909224022</c:v>
                </c:pt>
                <c:pt idx="1">
                  <c:v>0.45817484394275593</c:v>
                </c:pt>
                <c:pt idx="2">
                  <c:v>0.430173954753232</c:v>
                </c:pt>
                <c:pt idx="3">
                  <c:v>0.40944895966970135</c:v>
                </c:pt>
                <c:pt idx="4">
                  <c:v>0.37550924475086184</c:v>
                </c:pt>
                <c:pt idx="5">
                  <c:v>0.36138419189933152</c:v>
                </c:pt>
                <c:pt idx="6">
                  <c:v>0.32993441398714246</c:v>
                </c:pt>
                <c:pt idx="7">
                  <c:v>0.25830653804930337</c:v>
                </c:pt>
                <c:pt idx="8">
                  <c:v>0.25142787226232716</c:v>
                </c:pt>
                <c:pt idx="9">
                  <c:v>0.24799856345489099</c:v>
                </c:pt>
                <c:pt idx="10">
                  <c:v>0.10226635801047279</c:v>
                </c:pt>
                <c:pt idx="11">
                  <c:v>1.3558036455000118E-2</c:v>
                </c:pt>
              </c:numCache>
            </c:numRef>
          </c:val>
          <c:extLst>
            <c:ext xmlns:c16="http://schemas.microsoft.com/office/drawing/2014/chart" uri="{C3380CC4-5D6E-409C-BE32-E72D297353CC}">
              <c16:uniqueId val="{00000000-5E4C-4B9E-B6E7-5F554DEE0822}"/>
            </c:ext>
          </c:extLst>
        </c:ser>
        <c:dLbls>
          <c:showLegendKey val="0"/>
          <c:showVal val="0"/>
          <c:showCatName val="0"/>
          <c:showSerName val="0"/>
          <c:showPercent val="0"/>
          <c:showBubbleSize val="0"/>
        </c:dLbls>
        <c:gapWidth val="100"/>
        <c:overlap val="-24"/>
        <c:axId val="100127608"/>
        <c:axId val="100126624"/>
      </c:barChart>
      <c:catAx>
        <c:axId val="1001276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126624"/>
        <c:crosses val="autoZero"/>
        <c:auto val="1"/>
        <c:lblAlgn val="ctr"/>
        <c:lblOffset val="100"/>
        <c:noMultiLvlLbl val="0"/>
      </c:catAx>
      <c:valAx>
        <c:axId val="1001266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127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ANALYSIS.xlsx]Profit-Driving Countries!PivotTable2</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sz="1800" b="1">
                <a:effectLst/>
              </a:rPr>
              <a:t>Profit-Driving Countries</a:t>
            </a:r>
            <a:endParaRPr lang="en-ID">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'Profit-Driving Countries'!$B$3</c:f>
              <c:strCache>
                <c:ptCount val="1"/>
                <c:pt idx="0">
                  <c:v>Sum of Total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'Profit-Driving Countries'!$A$4:$A$26</c:f>
              <c:multiLvlStrCache>
                <c:ptCount val="14"/>
                <c:lvl>
                  <c:pt idx="0">
                    <c:v>Cereal</c:v>
                  </c:pt>
                  <c:pt idx="1">
                    <c:v>Cosmetics</c:v>
                  </c:pt>
                  <c:pt idx="2">
                    <c:v>Snacks</c:v>
                  </c:pt>
                  <c:pt idx="3">
                    <c:v>Cosmetics</c:v>
                  </c:pt>
                  <c:pt idx="4">
                    <c:v>Cosmetics</c:v>
                  </c:pt>
                  <c:pt idx="5">
                    <c:v>Cosmetics</c:v>
                  </c:pt>
                  <c:pt idx="6">
                    <c:v>Cosmetics</c:v>
                  </c:pt>
                  <c:pt idx="7">
                    <c:v>Office Supplies</c:v>
                  </c:pt>
                  <c:pt idx="8">
                    <c:v>Cosmetics</c:v>
                  </c:pt>
                  <c:pt idx="9">
                    <c:v>Personal Care</c:v>
                  </c:pt>
                  <c:pt idx="10">
                    <c:v>Household</c:v>
                  </c:pt>
                  <c:pt idx="11">
                    <c:v>Snacks</c:v>
                  </c:pt>
                  <c:pt idx="12">
                    <c:v>Household</c:v>
                  </c:pt>
                  <c:pt idx="13">
                    <c:v>Personal Care</c:v>
                  </c:pt>
                </c:lvl>
                <c:lvl>
                  <c:pt idx="0">
                    <c:v>Djibouti</c:v>
                  </c:pt>
                  <c:pt idx="3">
                    <c:v>Pakistan</c:v>
                  </c:pt>
                  <c:pt idx="4">
                    <c:v>Samoa </c:v>
                  </c:pt>
                  <c:pt idx="5">
                    <c:v>Iceland</c:v>
                  </c:pt>
                  <c:pt idx="6">
                    <c:v>Azerbaijan</c:v>
                  </c:pt>
                  <c:pt idx="8">
                    <c:v>Switzerland</c:v>
                  </c:pt>
                  <c:pt idx="10">
                    <c:v>Honduras</c:v>
                  </c:pt>
                  <c:pt idx="12">
                    <c:v>Mexico</c:v>
                  </c:pt>
                </c:lvl>
              </c:multiLvlStrCache>
            </c:multiLvlStrRef>
          </c:cat>
          <c:val>
            <c:numRef>
              <c:f>'Profit-Driving Countries'!$B$4:$B$26</c:f>
              <c:numCache>
                <c:formatCode>General</c:formatCode>
                <c:ptCount val="14"/>
                <c:pt idx="0">
                  <c:v>76683504</c:v>
                </c:pt>
                <c:pt idx="1">
                  <c:v>125447205</c:v>
                </c:pt>
                <c:pt idx="2">
                  <c:v>40401078</c:v>
                </c:pt>
                <c:pt idx="3">
                  <c:v>171992204</c:v>
                </c:pt>
                <c:pt idx="4">
                  <c:v>167854098</c:v>
                </c:pt>
                <c:pt idx="5">
                  <c:v>154170529</c:v>
                </c:pt>
                <c:pt idx="6">
                  <c:v>125777558</c:v>
                </c:pt>
                <c:pt idx="7">
                  <c:v>25515125</c:v>
                </c:pt>
                <c:pt idx="8">
                  <c:v>150588807</c:v>
                </c:pt>
                <c:pt idx="9">
                  <c:v>684138</c:v>
                </c:pt>
                <c:pt idx="10">
                  <c:v>148726102</c:v>
                </c:pt>
                <c:pt idx="11">
                  <c:v>1226865</c:v>
                </c:pt>
                <c:pt idx="12">
                  <c:v>115248642</c:v>
                </c:pt>
                <c:pt idx="13">
                  <c:v>30545634</c:v>
                </c:pt>
              </c:numCache>
            </c:numRef>
          </c:val>
          <c:extLst>
            <c:ext xmlns:c16="http://schemas.microsoft.com/office/drawing/2014/chart" uri="{C3380CC4-5D6E-409C-BE32-E72D297353CC}">
              <c16:uniqueId val="{00000000-74B4-491C-A670-CE2D4C0AF664}"/>
            </c:ext>
          </c:extLst>
        </c:ser>
        <c:ser>
          <c:idx val="1"/>
          <c:order val="1"/>
          <c:tx>
            <c:strRef>
              <c:f>'Profit-Driving Countries'!$C$3</c:f>
              <c:strCache>
                <c:ptCount val="1"/>
                <c:pt idx="0">
                  <c:v>Average of 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multiLvlStrRef>
              <c:f>'Profit-Driving Countries'!$A$4:$A$26</c:f>
              <c:multiLvlStrCache>
                <c:ptCount val="14"/>
                <c:lvl>
                  <c:pt idx="0">
                    <c:v>Cereal</c:v>
                  </c:pt>
                  <c:pt idx="1">
                    <c:v>Cosmetics</c:v>
                  </c:pt>
                  <c:pt idx="2">
                    <c:v>Snacks</c:v>
                  </c:pt>
                  <c:pt idx="3">
                    <c:v>Cosmetics</c:v>
                  </c:pt>
                  <c:pt idx="4">
                    <c:v>Cosmetics</c:v>
                  </c:pt>
                  <c:pt idx="5">
                    <c:v>Cosmetics</c:v>
                  </c:pt>
                  <c:pt idx="6">
                    <c:v>Cosmetics</c:v>
                  </c:pt>
                  <c:pt idx="7">
                    <c:v>Office Supplies</c:v>
                  </c:pt>
                  <c:pt idx="8">
                    <c:v>Cosmetics</c:v>
                  </c:pt>
                  <c:pt idx="9">
                    <c:v>Personal Care</c:v>
                  </c:pt>
                  <c:pt idx="10">
                    <c:v>Household</c:v>
                  </c:pt>
                  <c:pt idx="11">
                    <c:v>Snacks</c:v>
                  </c:pt>
                  <c:pt idx="12">
                    <c:v>Household</c:v>
                  </c:pt>
                  <c:pt idx="13">
                    <c:v>Personal Care</c:v>
                  </c:pt>
                </c:lvl>
                <c:lvl>
                  <c:pt idx="0">
                    <c:v>Djibouti</c:v>
                  </c:pt>
                  <c:pt idx="3">
                    <c:v>Pakistan</c:v>
                  </c:pt>
                  <c:pt idx="4">
                    <c:v>Samoa </c:v>
                  </c:pt>
                  <c:pt idx="5">
                    <c:v>Iceland</c:v>
                  </c:pt>
                  <c:pt idx="6">
                    <c:v>Azerbaijan</c:v>
                  </c:pt>
                  <c:pt idx="8">
                    <c:v>Switzerland</c:v>
                  </c:pt>
                  <c:pt idx="10">
                    <c:v>Honduras</c:v>
                  </c:pt>
                  <c:pt idx="12">
                    <c:v>Mexico</c:v>
                  </c:pt>
                </c:lvl>
              </c:multiLvlStrCache>
            </c:multiLvlStrRef>
          </c:cat>
          <c:val>
            <c:numRef>
              <c:f>'Profit-Driving Countries'!$C$4:$C$26</c:f>
              <c:numCache>
                <c:formatCode>General</c:formatCode>
                <c:ptCount val="14"/>
                <c:pt idx="0">
                  <c:v>76683504</c:v>
                </c:pt>
                <c:pt idx="1">
                  <c:v>125447205</c:v>
                </c:pt>
                <c:pt idx="2">
                  <c:v>40401078</c:v>
                </c:pt>
                <c:pt idx="3">
                  <c:v>171992204</c:v>
                </c:pt>
                <c:pt idx="4">
                  <c:v>167854098</c:v>
                </c:pt>
                <c:pt idx="5">
                  <c:v>154170529</c:v>
                </c:pt>
                <c:pt idx="6">
                  <c:v>125777558</c:v>
                </c:pt>
                <c:pt idx="7">
                  <c:v>25515125</c:v>
                </c:pt>
                <c:pt idx="8">
                  <c:v>150588807</c:v>
                </c:pt>
                <c:pt idx="9">
                  <c:v>684138</c:v>
                </c:pt>
                <c:pt idx="10">
                  <c:v>148726102</c:v>
                </c:pt>
                <c:pt idx="11">
                  <c:v>1226865</c:v>
                </c:pt>
                <c:pt idx="12">
                  <c:v>115248642</c:v>
                </c:pt>
                <c:pt idx="13">
                  <c:v>15272817</c:v>
                </c:pt>
              </c:numCache>
            </c:numRef>
          </c:val>
          <c:extLst>
            <c:ext xmlns:c16="http://schemas.microsoft.com/office/drawing/2014/chart" uri="{C3380CC4-5D6E-409C-BE32-E72D297353CC}">
              <c16:uniqueId val="{00000001-74B4-491C-A670-CE2D4C0AF664}"/>
            </c:ext>
          </c:extLst>
        </c:ser>
        <c:dLbls>
          <c:showLegendKey val="0"/>
          <c:showVal val="0"/>
          <c:showCatName val="0"/>
          <c:showSerName val="0"/>
          <c:showPercent val="0"/>
          <c:showBubbleSize val="0"/>
        </c:dLbls>
        <c:gapWidth val="100"/>
        <c:overlap val="-24"/>
        <c:axId val="421982264"/>
        <c:axId val="421980624"/>
      </c:barChart>
      <c:catAx>
        <c:axId val="421982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1980624"/>
        <c:crosses val="autoZero"/>
        <c:auto val="1"/>
        <c:lblAlgn val="ctr"/>
        <c:lblOffset val="100"/>
        <c:noMultiLvlLbl val="0"/>
      </c:catAx>
      <c:valAx>
        <c:axId val="4219806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198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ANALYSIS.xlsx]Analisis Efisiensi Saluran!PivotTable3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Sales By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Efisiensi Saluran'!$B$3:$B$4</c:f>
              <c:strCache>
                <c:ptCount val="1"/>
                <c:pt idx="0">
                  <c:v>Online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'Analisis Efisiensi Saluran'!$A$5:$A$17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'Analisis Efisiensi Saluran'!$B$5:$B$17</c:f>
              <c:numCache>
                <c:formatCode>0.0000%</c:formatCode>
                <c:ptCount val="12"/>
                <c:pt idx="0">
                  <c:v>0.37550924475086178</c:v>
                </c:pt>
                <c:pt idx="1">
                  <c:v>0.33003161222339306</c:v>
                </c:pt>
                <c:pt idx="2">
                  <c:v>0.44000046323083658</c:v>
                </c:pt>
                <c:pt idx="3">
                  <c:v>0.67203513909224011</c:v>
                </c:pt>
                <c:pt idx="4">
                  <c:v>0.39821234128980382</c:v>
                </c:pt>
                <c:pt idx="5">
                  <c:v>0.25830653804930331</c:v>
                </c:pt>
                <c:pt idx="6">
                  <c:v>0.24799856345489099</c:v>
                </c:pt>
                <c:pt idx="7">
                  <c:v>1.3558036455000118E-2</c:v>
                </c:pt>
                <c:pt idx="8">
                  <c:v>0.10081233396293054</c:v>
                </c:pt>
                <c:pt idx="9">
                  <c:v>0.21463354949223054</c:v>
                </c:pt>
                <c:pt idx="10">
                  <c:v>0.36138419189933152</c:v>
                </c:pt>
                <c:pt idx="11">
                  <c:v>0.40977541217707386</c:v>
                </c:pt>
              </c:numCache>
            </c:numRef>
          </c:val>
          <c:extLst>
            <c:ext xmlns:c16="http://schemas.microsoft.com/office/drawing/2014/chart" uri="{C3380CC4-5D6E-409C-BE32-E72D297353CC}">
              <c16:uniqueId val="{00000000-25C6-495B-9E2E-9FA7DE44A27A}"/>
            </c:ext>
          </c:extLst>
        </c:ser>
        <c:ser>
          <c:idx val="1"/>
          <c:order val="1"/>
          <c:tx>
            <c:strRef>
              <c:f>'Analisis Efisiensi Saluran'!$C$3:$C$4</c:f>
              <c:strCache>
                <c:ptCount val="1"/>
                <c:pt idx="0">
                  <c:v>Offline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'Analisis Efisiensi Saluran'!$A$5:$A$17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'Analisis Efisiensi Saluran'!$C$5:$C$17</c:f>
              <c:numCache>
                <c:formatCode>0.0000%</c:formatCode>
                <c:ptCount val="12"/>
                <c:pt idx="0">
                  <c:v>0.37550924475086173</c:v>
                </c:pt>
                <c:pt idx="1">
                  <c:v>0.32990201457505897</c:v>
                </c:pt>
                <c:pt idx="2">
                  <c:v>0.48240735155864822</c:v>
                </c:pt>
                <c:pt idx="3">
                  <c:v>0.67203513909224011</c:v>
                </c:pt>
                <c:pt idx="4">
                  <c:v>0.4575696234361703</c:v>
                </c:pt>
                <c:pt idx="5">
                  <c:v>0.25830653804930331</c:v>
                </c:pt>
                <c:pt idx="6">
                  <c:v>0.24799856345489096</c:v>
                </c:pt>
                <c:pt idx="8">
                  <c:v>0.10372038205801508</c:v>
                </c:pt>
                <c:pt idx="9">
                  <c:v>0.26719686773522577</c:v>
                </c:pt>
                <c:pt idx="11">
                  <c:v>0.40879605465495639</c:v>
                </c:pt>
              </c:numCache>
            </c:numRef>
          </c:val>
          <c:extLst>
            <c:ext xmlns:c16="http://schemas.microsoft.com/office/drawing/2014/chart" uri="{C3380CC4-5D6E-409C-BE32-E72D297353CC}">
              <c16:uniqueId val="{00000000-BA38-497F-91C8-0C3E35781B08}"/>
            </c:ext>
          </c:extLst>
        </c:ser>
        <c:dLbls>
          <c:showLegendKey val="0"/>
          <c:showVal val="0"/>
          <c:showCatName val="0"/>
          <c:showSerName val="0"/>
          <c:showPercent val="0"/>
          <c:showBubbleSize val="0"/>
        </c:dLbls>
        <c:gapWidth val="100"/>
        <c:axId val="527735520"/>
        <c:axId val="527732240"/>
      </c:barChart>
      <c:catAx>
        <c:axId val="5277355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7732240"/>
        <c:crosses val="autoZero"/>
        <c:auto val="1"/>
        <c:lblAlgn val="ctr"/>
        <c:lblOffset val="100"/>
        <c:noMultiLvlLbl val="0"/>
      </c:catAx>
      <c:valAx>
        <c:axId val="527732240"/>
        <c:scaling>
          <c:orientation val="minMax"/>
        </c:scaling>
        <c:delete val="0"/>
        <c:axPos val="b"/>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773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ANALYSIS.xlsx]Analisis Efisiensi Saluran!PivotTable3</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Efisiensi Saluran'!$B$3:$B$4</c:f>
              <c:strCache>
                <c:ptCount val="1"/>
                <c:pt idx="0">
                  <c:v>Online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'Analisis Efisiensi Saluran'!$A$5:$A$17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'Analisis Efisiensi Saluran'!$B$5:$B$17</c:f>
              <c:numCache>
                <c:formatCode>0.0000%</c:formatCode>
                <c:ptCount val="12"/>
                <c:pt idx="0">
                  <c:v>0.37550924475086178</c:v>
                </c:pt>
                <c:pt idx="1">
                  <c:v>0.33003161222339306</c:v>
                </c:pt>
                <c:pt idx="2">
                  <c:v>0.44000046323083658</c:v>
                </c:pt>
                <c:pt idx="3">
                  <c:v>0.67203513909224011</c:v>
                </c:pt>
                <c:pt idx="4">
                  <c:v>0.39821234128980382</c:v>
                </c:pt>
                <c:pt idx="5">
                  <c:v>0.25830653804930331</c:v>
                </c:pt>
                <c:pt idx="6">
                  <c:v>0.24799856345489099</c:v>
                </c:pt>
                <c:pt idx="7">
                  <c:v>1.3558036455000118E-2</c:v>
                </c:pt>
                <c:pt idx="8">
                  <c:v>0.10081233396293054</c:v>
                </c:pt>
                <c:pt idx="9">
                  <c:v>0.21463354949223054</c:v>
                </c:pt>
                <c:pt idx="10">
                  <c:v>0.36138419189933152</c:v>
                </c:pt>
                <c:pt idx="11">
                  <c:v>0.40977541217707386</c:v>
                </c:pt>
              </c:numCache>
            </c:numRef>
          </c:val>
          <c:extLst>
            <c:ext xmlns:c16="http://schemas.microsoft.com/office/drawing/2014/chart" uri="{C3380CC4-5D6E-409C-BE32-E72D297353CC}">
              <c16:uniqueId val="{00000000-D810-4C7E-8059-CDFDA96E010A}"/>
            </c:ext>
          </c:extLst>
        </c:ser>
        <c:ser>
          <c:idx val="1"/>
          <c:order val="1"/>
          <c:tx>
            <c:strRef>
              <c:f>'Analisis Efisiensi Saluran'!$C$3:$C$4</c:f>
              <c:strCache>
                <c:ptCount val="1"/>
                <c:pt idx="0">
                  <c:v>Offline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'Analisis Efisiensi Saluran'!$A$5:$A$17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'Analisis Efisiensi Saluran'!$C$5:$C$17</c:f>
              <c:numCache>
                <c:formatCode>0.0000%</c:formatCode>
                <c:ptCount val="12"/>
                <c:pt idx="0">
                  <c:v>0.37550924475086173</c:v>
                </c:pt>
                <c:pt idx="1">
                  <c:v>0.32990201457505897</c:v>
                </c:pt>
                <c:pt idx="2">
                  <c:v>0.48240735155864822</c:v>
                </c:pt>
                <c:pt idx="3">
                  <c:v>0.67203513909224011</c:v>
                </c:pt>
                <c:pt idx="4">
                  <c:v>0.4575696234361703</c:v>
                </c:pt>
                <c:pt idx="5">
                  <c:v>0.25830653804930331</c:v>
                </c:pt>
                <c:pt idx="6">
                  <c:v>0.24799856345489096</c:v>
                </c:pt>
                <c:pt idx="8">
                  <c:v>0.10372038205801508</c:v>
                </c:pt>
                <c:pt idx="9">
                  <c:v>0.26719686773522577</c:v>
                </c:pt>
                <c:pt idx="11">
                  <c:v>0.40879605465495639</c:v>
                </c:pt>
              </c:numCache>
            </c:numRef>
          </c:val>
          <c:extLst>
            <c:ext xmlns:c16="http://schemas.microsoft.com/office/drawing/2014/chart" uri="{C3380CC4-5D6E-409C-BE32-E72D297353CC}">
              <c16:uniqueId val="{00000001-7940-4C5E-BEB9-636423935000}"/>
            </c:ext>
          </c:extLst>
        </c:ser>
        <c:dLbls>
          <c:showLegendKey val="0"/>
          <c:showVal val="0"/>
          <c:showCatName val="0"/>
          <c:showSerName val="0"/>
          <c:showPercent val="0"/>
          <c:showBubbleSize val="0"/>
        </c:dLbls>
        <c:gapWidth val="100"/>
        <c:axId val="527735520"/>
        <c:axId val="527732240"/>
      </c:barChart>
      <c:catAx>
        <c:axId val="5277355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7732240"/>
        <c:crosses val="autoZero"/>
        <c:auto val="1"/>
        <c:lblAlgn val="ctr"/>
        <c:lblOffset val="100"/>
        <c:noMultiLvlLbl val="0"/>
      </c:catAx>
      <c:valAx>
        <c:axId val="527732240"/>
        <c:scaling>
          <c:orientation val="minMax"/>
        </c:scaling>
        <c:delete val="0"/>
        <c:axPos val="b"/>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773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ANALYSIS.xlsx]Analisis Profitabilitas Produk!PivotTable1</c:name>
    <c:fmtId val="4"/>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Profitabilitas Produk'!$B$9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'Analisis Profitabilitas Produk'!$A$10:$A$22</c:f>
              <c:strCache>
                <c:ptCount val="12"/>
                <c:pt idx="0">
                  <c:v>Clothes</c:v>
                </c:pt>
                <c:pt idx="1">
                  <c:v>Cereal</c:v>
                </c:pt>
                <c:pt idx="2">
                  <c:v>Cosmetics</c:v>
                </c:pt>
                <c:pt idx="3">
                  <c:v>Vegetables</c:v>
                </c:pt>
                <c:pt idx="4">
                  <c:v>Baby Food</c:v>
                </c:pt>
                <c:pt idx="5">
                  <c:v>Snacks</c:v>
                </c:pt>
                <c:pt idx="6">
                  <c:v>Beverages</c:v>
                </c:pt>
                <c:pt idx="7">
                  <c:v>Fruits</c:v>
                </c:pt>
                <c:pt idx="8">
                  <c:v>Personal Care</c:v>
                </c:pt>
                <c:pt idx="9">
                  <c:v>Household</c:v>
                </c:pt>
                <c:pt idx="10">
                  <c:v>Office Supplies</c:v>
                </c:pt>
                <c:pt idx="11">
                  <c:v>Meat</c:v>
                </c:pt>
              </c:strCache>
            </c:strRef>
          </c:cat>
          <c:val>
            <c:numRef>
              <c:f>'Analisis Profitabilitas Produk'!$B$10:$B$22</c:f>
              <c:numCache>
                <c:formatCode>0%</c:formatCode>
                <c:ptCount val="12"/>
                <c:pt idx="0">
                  <c:v>0.67203513909224022</c:v>
                </c:pt>
                <c:pt idx="1">
                  <c:v>0.45817484394275593</c:v>
                </c:pt>
                <c:pt idx="2">
                  <c:v>0.430173954753232</c:v>
                </c:pt>
                <c:pt idx="3">
                  <c:v>0.40944895966970135</c:v>
                </c:pt>
                <c:pt idx="4">
                  <c:v>0.37550924475086184</c:v>
                </c:pt>
                <c:pt idx="5">
                  <c:v>0.36138419189933152</c:v>
                </c:pt>
                <c:pt idx="6">
                  <c:v>0.32993441398714246</c:v>
                </c:pt>
                <c:pt idx="7">
                  <c:v>0.25830653804930337</c:v>
                </c:pt>
                <c:pt idx="8">
                  <c:v>0.25142787226232716</c:v>
                </c:pt>
                <c:pt idx="9">
                  <c:v>0.24799856345489099</c:v>
                </c:pt>
                <c:pt idx="10">
                  <c:v>0.10226635801047279</c:v>
                </c:pt>
                <c:pt idx="11">
                  <c:v>1.3558036455000118E-2</c:v>
                </c:pt>
              </c:numCache>
            </c:numRef>
          </c:val>
          <c:extLst>
            <c:ext xmlns:c16="http://schemas.microsoft.com/office/drawing/2014/chart" uri="{C3380CC4-5D6E-409C-BE32-E72D297353CC}">
              <c16:uniqueId val="{00000000-D460-4C98-8104-F1FF91D73F3A}"/>
            </c:ext>
          </c:extLst>
        </c:ser>
        <c:dLbls>
          <c:showLegendKey val="0"/>
          <c:showVal val="0"/>
          <c:showCatName val="0"/>
          <c:showSerName val="0"/>
          <c:showPercent val="0"/>
          <c:showBubbleSize val="0"/>
        </c:dLbls>
        <c:gapWidth val="100"/>
        <c:overlap val="-24"/>
        <c:axId val="100127608"/>
        <c:axId val="100126624"/>
      </c:barChart>
      <c:catAx>
        <c:axId val="1001276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126624"/>
        <c:crosses val="autoZero"/>
        <c:auto val="1"/>
        <c:lblAlgn val="ctr"/>
        <c:lblOffset val="100"/>
        <c:noMultiLvlLbl val="0"/>
      </c:catAx>
      <c:valAx>
        <c:axId val="1001266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127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ANALYSIS.xlsx]Profit-Driving Countries!PivotTable2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'Profit-Driving Countries'!$B$3</c:f>
              <c:strCache>
                <c:ptCount val="1"/>
                <c:pt idx="0">
                  <c:v>Sum of Total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'Profit-Driving Countries'!$A$4:$A$26</c:f>
              <c:multiLvlStrCache>
                <c:ptCount val="14"/>
                <c:lvl>
                  <c:pt idx="0">
                    <c:v>Cereal</c:v>
                  </c:pt>
                  <c:pt idx="1">
                    <c:v>Cosmetics</c:v>
                  </c:pt>
                  <c:pt idx="2">
                    <c:v>Snacks</c:v>
                  </c:pt>
                  <c:pt idx="3">
                    <c:v>Cosmetics</c:v>
                  </c:pt>
                  <c:pt idx="4">
                    <c:v>Cosmetics</c:v>
                  </c:pt>
                  <c:pt idx="5">
                    <c:v>Cosmetics</c:v>
                  </c:pt>
                  <c:pt idx="6">
                    <c:v>Cosmetics</c:v>
                  </c:pt>
                  <c:pt idx="7">
                    <c:v>Office Supplies</c:v>
                  </c:pt>
                  <c:pt idx="8">
                    <c:v>Cosmetics</c:v>
                  </c:pt>
                  <c:pt idx="9">
                    <c:v>Personal Care</c:v>
                  </c:pt>
                  <c:pt idx="10">
                    <c:v>Household</c:v>
                  </c:pt>
                  <c:pt idx="11">
                    <c:v>Snacks</c:v>
                  </c:pt>
                  <c:pt idx="12">
                    <c:v>Household</c:v>
                  </c:pt>
                  <c:pt idx="13">
                    <c:v>Personal Care</c:v>
                  </c:pt>
                </c:lvl>
                <c:lvl>
                  <c:pt idx="0">
                    <c:v>Djibouti</c:v>
                  </c:pt>
                  <c:pt idx="3">
                    <c:v>Pakistan</c:v>
                  </c:pt>
                  <c:pt idx="4">
                    <c:v>Samoa </c:v>
                  </c:pt>
                  <c:pt idx="5">
                    <c:v>Iceland</c:v>
                  </c:pt>
                  <c:pt idx="6">
                    <c:v>Azerbaijan</c:v>
                  </c:pt>
                  <c:pt idx="8">
                    <c:v>Switzerland</c:v>
                  </c:pt>
                  <c:pt idx="10">
                    <c:v>Honduras</c:v>
                  </c:pt>
                  <c:pt idx="12">
                    <c:v>Mexico</c:v>
                  </c:pt>
                </c:lvl>
              </c:multiLvlStrCache>
            </c:multiLvlStrRef>
          </c:cat>
          <c:val>
            <c:numRef>
              <c:f>'Profit-Driving Countries'!$B$4:$B$26</c:f>
              <c:numCache>
                <c:formatCode>General</c:formatCode>
                <c:ptCount val="14"/>
                <c:pt idx="0">
                  <c:v>76683504</c:v>
                </c:pt>
                <c:pt idx="1">
                  <c:v>125447205</c:v>
                </c:pt>
                <c:pt idx="2">
                  <c:v>40401078</c:v>
                </c:pt>
                <c:pt idx="3">
                  <c:v>171992204</c:v>
                </c:pt>
                <c:pt idx="4">
                  <c:v>167854098</c:v>
                </c:pt>
                <c:pt idx="5">
                  <c:v>154170529</c:v>
                </c:pt>
                <c:pt idx="6">
                  <c:v>125777558</c:v>
                </c:pt>
                <c:pt idx="7">
                  <c:v>25515125</c:v>
                </c:pt>
                <c:pt idx="8">
                  <c:v>150588807</c:v>
                </c:pt>
                <c:pt idx="9">
                  <c:v>684138</c:v>
                </c:pt>
                <c:pt idx="10">
                  <c:v>148726102</c:v>
                </c:pt>
                <c:pt idx="11">
                  <c:v>1226865</c:v>
                </c:pt>
                <c:pt idx="12">
                  <c:v>115248642</c:v>
                </c:pt>
                <c:pt idx="13">
                  <c:v>30545634</c:v>
                </c:pt>
              </c:numCache>
            </c:numRef>
          </c:val>
          <c:extLst>
            <c:ext xmlns:c16="http://schemas.microsoft.com/office/drawing/2014/chart" uri="{C3380CC4-5D6E-409C-BE32-E72D297353CC}">
              <c16:uniqueId val="{00000000-97DA-44B3-9274-7A53338F4B57}"/>
            </c:ext>
          </c:extLst>
        </c:ser>
        <c:ser>
          <c:idx val="1"/>
          <c:order val="1"/>
          <c:tx>
            <c:strRef>
              <c:f>'Profit-Driving Countries'!$C$3</c:f>
              <c:strCache>
                <c:ptCount val="1"/>
                <c:pt idx="0">
                  <c:v>Average of 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multiLvlStrRef>
              <c:f>'Profit-Driving Countries'!$A$4:$A$26</c:f>
              <c:multiLvlStrCache>
                <c:ptCount val="14"/>
                <c:lvl>
                  <c:pt idx="0">
                    <c:v>Cereal</c:v>
                  </c:pt>
                  <c:pt idx="1">
                    <c:v>Cosmetics</c:v>
                  </c:pt>
                  <c:pt idx="2">
                    <c:v>Snacks</c:v>
                  </c:pt>
                  <c:pt idx="3">
                    <c:v>Cosmetics</c:v>
                  </c:pt>
                  <c:pt idx="4">
                    <c:v>Cosmetics</c:v>
                  </c:pt>
                  <c:pt idx="5">
                    <c:v>Cosmetics</c:v>
                  </c:pt>
                  <c:pt idx="6">
                    <c:v>Cosmetics</c:v>
                  </c:pt>
                  <c:pt idx="7">
                    <c:v>Office Supplies</c:v>
                  </c:pt>
                  <c:pt idx="8">
                    <c:v>Cosmetics</c:v>
                  </c:pt>
                  <c:pt idx="9">
                    <c:v>Personal Care</c:v>
                  </c:pt>
                  <c:pt idx="10">
                    <c:v>Household</c:v>
                  </c:pt>
                  <c:pt idx="11">
                    <c:v>Snacks</c:v>
                  </c:pt>
                  <c:pt idx="12">
                    <c:v>Household</c:v>
                  </c:pt>
                  <c:pt idx="13">
                    <c:v>Personal Care</c:v>
                  </c:pt>
                </c:lvl>
                <c:lvl>
                  <c:pt idx="0">
                    <c:v>Djibouti</c:v>
                  </c:pt>
                  <c:pt idx="3">
                    <c:v>Pakistan</c:v>
                  </c:pt>
                  <c:pt idx="4">
                    <c:v>Samoa </c:v>
                  </c:pt>
                  <c:pt idx="5">
                    <c:v>Iceland</c:v>
                  </c:pt>
                  <c:pt idx="6">
                    <c:v>Azerbaijan</c:v>
                  </c:pt>
                  <c:pt idx="8">
                    <c:v>Switzerland</c:v>
                  </c:pt>
                  <c:pt idx="10">
                    <c:v>Honduras</c:v>
                  </c:pt>
                  <c:pt idx="12">
                    <c:v>Mexico</c:v>
                  </c:pt>
                </c:lvl>
              </c:multiLvlStrCache>
            </c:multiLvlStrRef>
          </c:cat>
          <c:val>
            <c:numRef>
              <c:f>'Profit-Driving Countries'!$C$4:$C$26</c:f>
              <c:numCache>
                <c:formatCode>General</c:formatCode>
                <c:ptCount val="14"/>
                <c:pt idx="0">
                  <c:v>76683504</c:v>
                </c:pt>
                <c:pt idx="1">
                  <c:v>125447205</c:v>
                </c:pt>
                <c:pt idx="2">
                  <c:v>40401078</c:v>
                </c:pt>
                <c:pt idx="3">
                  <c:v>171992204</c:v>
                </c:pt>
                <c:pt idx="4">
                  <c:v>167854098</c:v>
                </c:pt>
                <c:pt idx="5">
                  <c:v>154170529</c:v>
                </c:pt>
                <c:pt idx="6">
                  <c:v>125777558</c:v>
                </c:pt>
                <c:pt idx="7">
                  <c:v>25515125</c:v>
                </c:pt>
                <c:pt idx="8">
                  <c:v>150588807</c:v>
                </c:pt>
                <c:pt idx="9">
                  <c:v>684138</c:v>
                </c:pt>
                <c:pt idx="10">
                  <c:v>148726102</c:v>
                </c:pt>
                <c:pt idx="11">
                  <c:v>1226865</c:v>
                </c:pt>
                <c:pt idx="12">
                  <c:v>115248642</c:v>
                </c:pt>
                <c:pt idx="13">
                  <c:v>15272817</c:v>
                </c:pt>
              </c:numCache>
            </c:numRef>
          </c:val>
          <c:extLst>
            <c:ext xmlns:c16="http://schemas.microsoft.com/office/drawing/2014/chart" uri="{C3380CC4-5D6E-409C-BE32-E72D297353CC}">
              <c16:uniqueId val="{00000001-97DA-44B3-9274-7A53338F4B57}"/>
            </c:ext>
          </c:extLst>
        </c:ser>
        <c:dLbls>
          <c:showLegendKey val="0"/>
          <c:showVal val="0"/>
          <c:showCatName val="0"/>
          <c:showSerName val="0"/>
          <c:showPercent val="0"/>
          <c:showBubbleSize val="0"/>
        </c:dLbls>
        <c:gapWidth val="100"/>
        <c:overlap val="-24"/>
        <c:axId val="421982264"/>
        <c:axId val="421980624"/>
      </c:barChart>
      <c:catAx>
        <c:axId val="421982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1980624"/>
        <c:crosses val="autoZero"/>
        <c:auto val="1"/>
        <c:lblAlgn val="ctr"/>
        <c:lblOffset val="100"/>
        <c:noMultiLvlLbl val="0"/>
      </c:catAx>
      <c:valAx>
        <c:axId val="4219806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198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SALES ANALYSIS.xlsx]Analisis Penjualan Tahunan-Bula!PivotTable4</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Penjualan Tahunan-Bula'!$B$9</c:f>
              <c:strCache>
                <c:ptCount val="1"/>
                <c:pt idx="0">
                  <c:v>Sum of Total Profit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'Analisis Penjualan Tahunan-Bula'!$A$10:$A$84</c:f>
              <c:multiLvlStrCache>
                <c:ptCount val="66"/>
                <c:lvl>
                  <c:pt idx="0">
                    <c:v>Jan</c:v>
                  </c:pt>
                  <c:pt idx="1">
                    <c:v>Feb</c:v>
                  </c:pt>
                  <c:pt idx="2">
                    <c:v>Mar</c:v>
                  </c:pt>
                  <c:pt idx="3">
                    <c:v>Jun</c:v>
                  </c:pt>
                  <c:pt idx="4">
                    <c:v>Oct</c:v>
                  </c:pt>
                  <c:pt idx="5">
                    <c:v>Nov</c:v>
                  </c:pt>
                  <c:pt idx="6">
                    <c:v>Dec</c:v>
                  </c:pt>
                  <c:pt idx="7">
                    <c:v>Jan</c:v>
                  </c:pt>
                  <c:pt idx="8">
                    <c:v>Mar</c:v>
                  </c:pt>
                  <c:pt idx="9">
                    <c:v>Apr</c:v>
                  </c:pt>
                  <c:pt idx="10">
                    <c:v>May</c:v>
                  </c:pt>
                  <c:pt idx="11">
                    <c:v>Jul</c:v>
                  </c:pt>
                  <c:pt idx="12">
                    <c:v>Oct</c:v>
                  </c:pt>
                  <c:pt idx="13">
                    <c:v>Nov</c:v>
                  </c:pt>
                  <c:pt idx="14">
                    <c:v>Dec</c:v>
                  </c:pt>
                  <c:pt idx="15">
                    <c:v>Jan</c:v>
                  </c:pt>
                  <c:pt idx="16">
                    <c:v>Feb</c:v>
                  </c:pt>
                  <c:pt idx="17">
                    <c:v>Mar</c:v>
                  </c:pt>
                  <c:pt idx="18">
                    <c:v>May</c:v>
                  </c:pt>
                  <c:pt idx="19">
                    <c:v>Jun</c:v>
                  </c:pt>
                  <c:pt idx="20">
                    <c:v>Jul</c:v>
                  </c:pt>
                  <c:pt idx="21">
                    <c:v>Aug</c:v>
                  </c:pt>
                  <c:pt idx="22">
                    <c:v>Sep</c:v>
                  </c:pt>
                  <c:pt idx="23">
                    <c:v>Oct</c:v>
                  </c:pt>
                  <c:pt idx="24">
                    <c:v>Nov</c:v>
                  </c:pt>
                  <c:pt idx="25">
                    <c:v>Jan</c:v>
                  </c:pt>
                  <c:pt idx="26">
                    <c:v>Feb</c:v>
                  </c:pt>
                  <c:pt idx="27">
                    <c:v>Mar</c:v>
                  </c:pt>
                  <c:pt idx="28">
                    <c:v>May</c:v>
                  </c:pt>
                  <c:pt idx="29">
                    <c:v>Jun</c:v>
                  </c:pt>
                  <c:pt idx="30">
                    <c:v>Jul</c:v>
                  </c:pt>
                  <c:pt idx="31">
                    <c:v>Aug</c:v>
                  </c:pt>
                  <c:pt idx="32">
                    <c:v>Sep</c:v>
                  </c:pt>
                  <c:pt idx="33">
                    <c:v>Oct</c:v>
                  </c:pt>
                  <c:pt idx="34">
                    <c:v>Nov</c:v>
                  </c:pt>
                  <c:pt idx="35">
                    <c:v>Jan</c:v>
                  </c:pt>
                  <c:pt idx="36">
                    <c:v>Feb</c:v>
                  </c:pt>
                  <c:pt idx="37">
                    <c:v>Mar</c:v>
                  </c:pt>
                  <c:pt idx="38">
                    <c:v>Apr</c:v>
                  </c:pt>
                  <c:pt idx="39">
                    <c:v>May</c:v>
                  </c:pt>
                  <c:pt idx="40">
                    <c:v>Jun</c:v>
                  </c:pt>
                  <c:pt idx="41">
                    <c:v>Jul</c:v>
                  </c:pt>
                  <c:pt idx="42">
                    <c:v>Aug</c:v>
                  </c:pt>
                  <c:pt idx="43">
                    <c:v>Oct</c:v>
                  </c:pt>
                  <c:pt idx="44">
                    <c:v>Nov</c:v>
                  </c:pt>
                  <c:pt idx="45">
                    <c:v>Dec</c:v>
                  </c:pt>
                  <c:pt idx="46">
                    <c:v>Jan</c:v>
                  </c:pt>
                  <c:pt idx="47">
                    <c:v>Feb</c:v>
                  </c:pt>
                  <c:pt idx="48">
                    <c:v>Mar</c:v>
                  </c:pt>
                  <c:pt idx="49">
                    <c:v>Apr</c:v>
                  </c:pt>
                  <c:pt idx="50">
                    <c:v>May</c:v>
                  </c:pt>
                  <c:pt idx="51">
                    <c:v>Aug</c:v>
                  </c:pt>
                  <c:pt idx="52">
                    <c:v>Sep</c:v>
                  </c:pt>
                  <c:pt idx="53">
                    <c:v>Nov</c:v>
                  </c:pt>
                  <c:pt idx="54">
                    <c:v>Apr</c:v>
                  </c:pt>
                  <c:pt idx="55">
                    <c:v>Jun</c:v>
                  </c:pt>
                  <c:pt idx="56">
                    <c:v>Jul</c:v>
                  </c:pt>
                  <c:pt idx="57">
                    <c:v>Aug</c:v>
                  </c:pt>
                  <c:pt idx="58">
                    <c:v>Oct</c:v>
                  </c:pt>
                  <c:pt idx="59">
                    <c:v>Nov</c:v>
                  </c:pt>
                  <c:pt idx="60">
                    <c:v>Dec</c:v>
                  </c:pt>
                  <c:pt idx="61">
                    <c:v>Jan</c:v>
                  </c:pt>
                  <c:pt idx="62">
                    <c:v>Feb</c:v>
                  </c:pt>
                  <c:pt idx="63">
                    <c:v>Mar</c:v>
                  </c:pt>
                  <c:pt idx="64">
                    <c:v>May</c:v>
                  </c:pt>
                  <c:pt idx="65">
                    <c:v>Jun</c:v>
                  </c:pt>
                </c:lvl>
                <c:lvl>
                  <c:pt idx="0">
                    <c:v>2010</c:v>
                  </c:pt>
                  <c:pt idx="7">
                    <c:v>2011</c:v>
                  </c:pt>
                  <c:pt idx="15">
                    <c:v>2012</c:v>
                  </c:pt>
                  <c:pt idx="25">
                    <c:v>2013</c:v>
                  </c:pt>
                  <c:pt idx="35">
                    <c:v>2014</c:v>
                  </c:pt>
                  <c:pt idx="46">
                    <c:v>2015</c:v>
                  </c:pt>
                  <c:pt idx="54">
                    <c:v>2016</c:v>
                  </c:pt>
                  <c:pt idx="61">
                    <c:v>2017</c:v>
                  </c:pt>
                </c:lvl>
              </c:multiLvlStrCache>
            </c:multiLvlStrRef>
          </c:cat>
          <c:val>
            <c:numRef>
              <c:f>'Analisis Penjualan Tahunan-Bula'!$B$10:$B$84</c:f>
              <c:numCache>
                <c:formatCode>General</c:formatCode>
                <c:ptCount val="66"/>
                <c:pt idx="0">
                  <c:v>7274232</c:v>
                </c:pt>
                <c:pt idx="1">
                  <c:v>125777558</c:v>
                </c:pt>
                <c:pt idx="2">
                  <c:v>16663536</c:v>
                </c:pt>
                <c:pt idx="3">
                  <c:v>9514105</c:v>
                </c:pt>
                <c:pt idx="4">
                  <c:v>1403102</c:v>
                </c:pt>
                <c:pt idx="5">
                  <c:v>149539279</c:v>
                </c:pt>
                <c:pt idx="6">
                  <c:v>13753117</c:v>
                </c:pt>
                <c:pt idx="7">
                  <c:v>20857811</c:v>
                </c:pt>
                <c:pt idx="8">
                  <c:v>20205712</c:v>
                </c:pt>
                <c:pt idx="9">
                  <c:v>69391151</c:v>
                </c:pt>
                <c:pt idx="10">
                  <c:v>2252469</c:v>
                </c:pt>
                <c:pt idx="11">
                  <c:v>8990406</c:v>
                </c:pt>
                <c:pt idx="12">
                  <c:v>23560116</c:v>
                </c:pt>
                <c:pt idx="13">
                  <c:v>6966475</c:v>
                </c:pt>
                <c:pt idx="14">
                  <c:v>2293159</c:v>
                </c:pt>
                <c:pt idx="15">
                  <c:v>1598325</c:v>
                </c:pt>
                <c:pt idx="16">
                  <c:v>226530556</c:v>
                </c:pt>
                <c:pt idx="17">
                  <c:v>28380044</c:v>
                </c:pt>
                <c:pt idx="18">
                  <c:v>125802</c:v>
                </c:pt>
                <c:pt idx="19">
                  <c:v>25571808</c:v>
                </c:pt>
                <c:pt idx="20">
                  <c:v>160944457</c:v>
                </c:pt>
                <c:pt idx="21">
                  <c:v>77501484</c:v>
                </c:pt>
                <c:pt idx="22">
                  <c:v>50460373</c:v>
                </c:pt>
                <c:pt idx="23">
                  <c:v>151668330</c:v>
                </c:pt>
                <c:pt idx="24">
                  <c:v>78173325</c:v>
                </c:pt>
                <c:pt idx="25">
                  <c:v>455335</c:v>
                </c:pt>
                <c:pt idx="26">
                  <c:v>6041838</c:v>
                </c:pt>
                <c:pt idx="27">
                  <c:v>35994117</c:v>
                </c:pt>
                <c:pt idx="28">
                  <c:v>6325125</c:v>
                </c:pt>
                <c:pt idx="29">
                  <c:v>6390775</c:v>
                </c:pt>
                <c:pt idx="30">
                  <c:v>167854098</c:v>
                </c:pt>
                <c:pt idx="31">
                  <c:v>171992204</c:v>
                </c:pt>
                <c:pt idx="32">
                  <c:v>2315046</c:v>
                </c:pt>
                <c:pt idx="33">
                  <c:v>1840517</c:v>
                </c:pt>
                <c:pt idx="34">
                  <c:v>107486434</c:v>
                </c:pt>
                <c:pt idx="35">
                  <c:v>532525</c:v>
                </c:pt>
                <c:pt idx="36">
                  <c:v>12281906</c:v>
                </c:pt>
                <c:pt idx="37">
                  <c:v>53288574</c:v>
                </c:pt>
                <c:pt idx="38">
                  <c:v>125974272</c:v>
                </c:pt>
                <c:pt idx="39">
                  <c:v>60359969</c:v>
                </c:pt>
                <c:pt idx="40">
                  <c:v>714157</c:v>
                </c:pt>
                <c:pt idx="41">
                  <c:v>8024184</c:v>
                </c:pt>
                <c:pt idx="42">
                  <c:v>53069667</c:v>
                </c:pt>
                <c:pt idx="43">
                  <c:v>1300918</c:v>
                </c:pt>
                <c:pt idx="44">
                  <c:v>86982336</c:v>
                </c:pt>
                <c:pt idx="45">
                  <c:v>115248642</c:v>
                </c:pt>
                <c:pt idx="46">
                  <c:v>13672725</c:v>
                </c:pt>
                <c:pt idx="47">
                  <c:v>78009553</c:v>
                </c:pt>
                <c:pt idx="48">
                  <c:v>12202978</c:v>
                </c:pt>
                <c:pt idx="49">
                  <c:v>850338</c:v>
                </c:pt>
                <c:pt idx="50">
                  <c:v>53919648</c:v>
                </c:pt>
                <c:pt idx="51">
                  <c:v>15973244</c:v>
                </c:pt>
                <c:pt idx="52">
                  <c:v>162193</c:v>
                </c:pt>
                <c:pt idx="53">
                  <c:v>4724147</c:v>
                </c:pt>
                <c:pt idx="54">
                  <c:v>8522358</c:v>
                </c:pt>
                <c:pt idx="55">
                  <c:v>9374805</c:v>
                </c:pt>
                <c:pt idx="56">
                  <c:v>41604177</c:v>
                </c:pt>
                <c:pt idx="57">
                  <c:v>112824243</c:v>
                </c:pt>
                <c:pt idx="58">
                  <c:v>1270542</c:v>
                </c:pt>
                <c:pt idx="59">
                  <c:v>729756</c:v>
                </c:pt>
                <c:pt idx="60">
                  <c:v>275164638</c:v>
                </c:pt>
                <c:pt idx="61">
                  <c:v>63410196</c:v>
                </c:pt>
                <c:pt idx="62">
                  <c:v>189127180</c:v>
                </c:pt>
                <c:pt idx="63">
                  <c:v>755559</c:v>
                </c:pt>
                <c:pt idx="64">
                  <c:v>47618359</c:v>
                </c:pt>
                <c:pt idx="65">
                  <c:v>76683504</c:v>
                </c:pt>
              </c:numCache>
            </c:numRef>
          </c:val>
          <c:smooth val="0"/>
          <c:extLst>
            <c:ext xmlns:c16="http://schemas.microsoft.com/office/drawing/2014/chart" uri="{C3380CC4-5D6E-409C-BE32-E72D297353CC}">
              <c16:uniqueId val="{00000000-2D90-483F-9252-C774680C0BF7}"/>
            </c:ext>
          </c:extLst>
        </c:ser>
        <c:ser>
          <c:idx val="1"/>
          <c:order val="1"/>
          <c:tx>
            <c:strRef>
              <c:f>'Analisis Penjualan Tahunan-Bula'!$C$9</c:f>
              <c:strCache>
                <c:ptCount val="1"/>
                <c:pt idx="0">
                  <c:v>Sum of Total Revenue</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'Analisis Penjualan Tahunan-Bula'!$A$10:$A$84</c:f>
              <c:multiLvlStrCache>
                <c:ptCount val="66"/>
                <c:lvl>
                  <c:pt idx="0">
                    <c:v>Jan</c:v>
                  </c:pt>
                  <c:pt idx="1">
                    <c:v>Feb</c:v>
                  </c:pt>
                  <c:pt idx="2">
                    <c:v>Mar</c:v>
                  </c:pt>
                  <c:pt idx="3">
                    <c:v>Jun</c:v>
                  </c:pt>
                  <c:pt idx="4">
                    <c:v>Oct</c:v>
                  </c:pt>
                  <c:pt idx="5">
                    <c:v>Nov</c:v>
                  </c:pt>
                  <c:pt idx="6">
                    <c:v>Dec</c:v>
                  </c:pt>
                  <c:pt idx="7">
                    <c:v>Jan</c:v>
                  </c:pt>
                  <c:pt idx="8">
                    <c:v>Mar</c:v>
                  </c:pt>
                  <c:pt idx="9">
                    <c:v>Apr</c:v>
                  </c:pt>
                  <c:pt idx="10">
                    <c:v>May</c:v>
                  </c:pt>
                  <c:pt idx="11">
                    <c:v>Jul</c:v>
                  </c:pt>
                  <c:pt idx="12">
                    <c:v>Oct</c:v>
                  </c:pt>
                  <c:pt idx="13">
                    <c:v>Nov</c:v>
                  </c:pt>
                  <c:pt idx="14">
                    <c:v>Dec</c:v>
                  </c:pt>
                  <c:pt idx="15">
                    <c:v>Jan</c:v>
                  </c:pt>
                  <c:pt idx="16">
                    <c:v>Feb</c:v>
                  </c:pt>
                  <c:pt idx="17">
                    <c:v>Mar</c:v>
                  </c:pt>
                  <c:pt idx="18">
                    <c:v>May</c:v>
                  </c:pt>
                  <c:pt idx="19">
                    <c:v>Jun</c:v>
                  </c:pt>
                  <c:pt idx="20">
                    <c:v>Jul</c:v>
                  </c:pt>
                  <c:pt idx="21">
                    <c:v>Aug</c:v>
                  </c:pt>
                  <c:pt idx="22">
                    <c:v>Sep</c:v>
                  </c:pt>
                  <c:pt idx="23">
                    <c:v>Oct</c:v>
                  </c:pt>
                  <c:pt idx="24">
                    <c:v>Nov</c:v>
                  </c:pt>
                  <c:pt idx="25">
                    <c:v>Jan</c:v>
                  </c:pt>
                  <c:pt idx="26">
                    <c:v>Feb</c:v>
                  </c:pt>
                  <c:pt idx="27">
                    <c:v>Mar</c:v>
                  </c:pt>
                  <c:pt idx="28">
                    <c:v>May</c:v>
                  </c:pt>
                  <c:pt idx="29">
                    <c:v>Jun</c:v>
                  </c:pt>
                  <c:pt idx="30">
                    <c:v>Jul</c:v>
                  </c:pt>
                  <c:pt idx="31">
                    <c:v>Aug</c:v>
                  </c:pt>
                  <c:pt idx="32">
                    <c:v>Sep</c:v>
                  </c:pt>
                  <c:pt idx="33">
                    <c:v>Oct</c:v>
                  </c:pt>
                  <c:pt idx="34">
                    <c:v>Nov</c:v>
                  </c:pt>
                  <c:pt idx="35">
                    <c:v>Jan</c:v>
                  </c:pt>
                  <c:pt idx="36">
                    <c:v>Feb</c:v>
                  </c:pt>
                  <c:pt idx="37">
                    <c:v>Mar</c:v>
                  </c:pt>
                  <c:pt idx="38">
                    <c:v>Apr</c:v>
                  </c:pt>
                  <c:pt idx="39">
                    <c:v>May</c:v>
                  </c:pt>
                  <c:pt idx="40">
                    <c:v>Jun</c:v>
                  </c:pt>
                  <c:pt idx="41">
                    <c:v>Jul</c:v>
                  </c:pt>
                  <c:pt idx="42">
                    <c:v>Aug</c:v>
                  </c:pt>
                  <c:pt idx="43">
                    <c:v>Oct</c:v>
                  </c:pt>
                  <c:pt idx="44">
                    <c:v>Nov</c:v>
                  </c:pt>
                  <c:pt idx="45">
                    <c:v>Dec</c:v>
                  </c:pt>
                  <c:pt idx="46">
                    <c:v>Jan</c:v>
                  </c:pt>
                  <c:pt idx="47">
                    <c:v>Feb</c:v>
                  </c:pt>
                  <c:pt idx="48">
                    <c:v>Mar</c:v>
                  </c:pt>
                  <c:pt idx="49">
                    <c:v>Apr</c:v>
                  </c:pt>
                  <c:pt idx="50">
                    <c:v>May</c:v>
                  </c:pt>
                  <c:pt idx="51">
                    <c:v>Aug</c:v>
                  </c:pt>
                  <c:pt idx="52">
                    <c:v>Sep</c:v>
                  </c:pt>
                  <c:pt idx="53">
                    <c:v>Nov</c:v>
                  </c:pt>
                  <c:pt idx="54">
                    <c:v>Apr</c:v>
                  </c:pt>
                  <c:pt idx="55">
                    <c:v>Jun</c:v>
                  </c:pt>
                  <c:pt idx="56">
                    <c:v>Jul</c:v>
                  </c:pt>
                  <c:pt idx="57">
                    <c:v>Aug</c:v>
                  </c:pt>
                  <c:pt idx="58">
                    <c:v>Oct</c:v>
                  </c:pt>
                  <c:pt idx="59">
                    <c:v>Nov</c:v>
                  </c:pt>
                  <c:pt idx="60">
                    <c:v>Dec</c:v>
                  </c:pt>
                  <c:pt idx="61">
                    <c:v>Jan</c:v>
                  </c:pt>
                  <c:pt idx="62">
                    <c:v>Feb</c:v>
                  </c:pt>
                  <c:pt idx="63">
                    <c:v>Mar</c:v>
                  </c:pt>
                  <c:pt idx="64">
                    <c:v>May</c:v>
                  </c:pt>
                  <c:pt idx="65">
                    <c:v>Jun</c:v>
                  </c:pt>
                </c:lvl>
                <c:lvl>
                  <c:pt idx="0">
                    <c:v>2010</c:v>
                  </c:pt>
                  <c:pt idx="7">
                    <c:v>2011</c:v>
                  </c:pt>
                  <c:pt idx="15">
                    <c:v>2012</c:v>
                  </c:pt>
                  <c:pt idx="25">
                    <c:v>2013</c:v>
                  </c:pt>
                  <c:pt idx="35">
                    <c:v>2014</c:v>
                  </c:pt>
                  <c:pt idx="46">
                    <c:v>2015</c:v>
                  </c:pt>
                  <c:pt idx="54">
                    <c:v>2016</c:v>
                  </c:pt>
                  <c:pt idx="61">
                    <c:v>2017</c:v>
                  </c:pt>
                </c:lvl>
              </c:multiLvlStrCache>
            </c:multiLvlStrRef>
          </c:cat>
          <c:val>
            <c:numRef>
              <c:f>'Analisis Penjualan Tahunan-Bula'!$C$10:$C$84</c:f>
              <c:numCache>
                <c:formatCode>General</c:formatCode>
                <c:ptCount val="66"/>
                <c:pt idx="0">
                  <c:v>10824184</c:v>
                </c:pt>
                <c:pt idx="1">
                  <c:v>316027048</c:v>
                </c:pt>
                <c:pt idx="2">
                  <c:v>24795632</c:v>
                </c:pt>
                <c:pt idx="3">
                  <c:v>25336540</c:v>
                </c:pt>
                <c:pt idx="4">
                  <c:v>5431926</c:v>
                </c:pt>
                <c:pt idx="5">
                  <c:v>606493375</c:v>
                </c:pt>
                <c:pt idx="6">
                  <c:v>34958252</c:v>
                </c:pt>
                <c:pt idx="7">
                  <c:v>69719575</c:v>
                </c:pt>
                <c:pt idx="8">
                  <c:v>52204558</c:v>
                </c:pt>
                <c:pt idx="9">
                  <c:v>279804649</c:v>
                </c:pt>
                <c:pt idx="10">
                  <c:v>6232893</c:v>
                </c:pt>
                <c:pt idx="11">
                  <c:v>27241045</c:v>
                </c:pt>
                <c:pt idx="12">
                  <c:v>57495192</c:v>
                </c:pt>
                <c:pt idx="13">
                  <c:v>359337678</c:v>
                </c:pt>
                <c:pt idx="14">
                  <c:v>7757455</c:v>
                </c:pt>
                <c:pt idx="15">
                  <c:v>82443186</c:v>
                </c:pt>
                <c:pt idx="16">
                  <c:v>857041342</c:v>
                </c:pt>
                <c:pt idx="17">
                  <c:v>70769550</c:v>
                </c:pt>
                <c:pt idx="18">
                  <c:v>487026</c:v>
                </c:pt>
                <c:pt idx="19">
                  <c:v>38051296</c:v>
                </c:pt>
                <c:pt idx="20">
                  <c:v>580720672</c:v>
                </c:pt>
                <c:pt idx="21">
                  <c:v>566042689</c:v>
                </c:pt>
                <c:pt idx="22">
                  <c:v>144261767</c:v>
                </c:pt>
                <c:pt idx="23">
                  <c:v>373500318</c:v>
                </c:pt>
                <c:pt idx="24">
                  <c:v>550842863</c:v>
                </c:pt>
                <c:pt idx="25">
                  <c:v>1212580</c:v>
                </c:pt>
                <c:pt idx="26">
                  <c:v>10402874</c:v>
                </c:pt>
                <c:pt idx="27">
                  <c:v>80357591</c:v>
                </c:pt>
                <c:pt idx="28">
                  <c:v>32625621</c:v>
                </c:pt>
                <c:pt idx="29">
                  <c:v>329642502</c:v>
                </c:pt>
                <c:pt idx="30">
                  <c:v>420207288</c:v>
                </c:pt>
                <c:pt idx="31">
                  <c:v>430247824</c:v>
                </c:pt>
                <c:pt idx="32">
                  <c:v>8962398</c:v>
                </c:pt>
                <c:pt idx="33">
                  <c:v>7125321</c:v>
                </c:pt>
                <c:pt idx="34">
                  <c:v>171028170</c:v>
                </c:pt>
                <c:pt idx="35">
                  <c:v>17367625</c:v>
                </c:pt>
                <c:pt idx="36">
                  <c:v>40055873</c:v>
                </c:pt>
                <c:pt idx="37">
                  <c:v>141910152</c:v>
                </c:pt>
                <c:pt idx="38">
                  <c:v>312094869</c:v>
                </c:pt>
                <c:pt idx="39">
                  <c:v>142620967</c:v>
                </c:pt>
                <c:pt idx="40">
                  <c:v>1901836</c:v>
                </c:pt>
                <c:pt idx="41">
                  <c:v>24313380</c:v>
                </c:pt>
                <c:pt idx="42">
                  <c:v>161398163</c:v>
                </c:pt>
                <c:pt idx="43">
                  <c:v>5036334</c:v>
                </c:pt>
                <c:pt idx="44">
                  <c:v>174751536</c:v>
                </c:pt>
                <c:pt idx="45">
                  <c:v>464714958</c:v>
                </c:pt>
                <c:pt idx="46">
                  <c:v>55132275</c:v>
                </c:pt>
                <c:pt idx="47">
                  <c:v>199967356</c:v>
                </c:pt>
                <c:pt idx="48">
                  <c:v>32497144</c:v>
                </c:pt>
                <c:pt idx="49">
                  <c:v>2576535</c:v>
                </c:pt>
                <c:pt idx="50">
                  <c:v>80233376</c:v>
                </c:pt>
                <c:pt idx="51">
                  <c:v>52094702</c:v>
                </c:pt>
                <c:pt idx="52">
                  <c:v>627909</c:v>
                </c:pt>
                <c:pt idx="53">
                  <c:v>196894108</c:v>
                </c:pt>
                <c:pt idx="54">
                  <c:v>19780834</c:v>
                </c:pt>
                <c:pt idx="55">
                  <c:v>22987791</c:v>
                </c:pt>
                <c:pt idx="56">
                  <c:v>63477049</c:v>
                </c:pt>
                <c:pt idx="57">
                  <c:v>280369908</c:v>
                </c:pt>
                <c:pt idx="58">
                  <c:v>4143711</c:v>
                </c:pt>
                <c:pt idx="59">
                  <c:v>2201117</c:v>
                </c:pt>
                <c:pt idx="60">
                  <c:v>751895376</c:v>
                </c:pt>
                <c:pt idx="61">
                  <c:v>291413027</c:v>
                </c:pt>
                <c:pt idx="62">
                  <c:v>711500864</c:v>
                </c:pt>
                <c:pt idx="63">
                  <c:v>24641595</c:v>
                </c:pt>
                <c:pt idx="64">
                  <c:v>131732557</c:v>
                </c:pt>
                <c:pt idx="65">
                  <c:v>170805392</c:v>
                </c:pt>
              </c:numCache>
            </c:numRef>
          </c:val>
          <c:smooth val="0"/>
          <c:extLst>
            <c:ext xmlns:c16="http://schemas.microsoft.com/office/drawing/2014/chart" uri="{C3380CC4-5D6E-409C-BE32-E72D297353CC}">
              <c16:uniqueId val="{00000001-2D90-483F-9252-C774680C0BF7}"/>
            </c:ext>
          </c:extLst>
        </c:ser>
        <c:dLbls>
          <c:dLblPos val="ctr"/>
          <c:showLegendKey val="0"/>
          <c:showVal val="1"/>
          <c:showCatName val="0"/>
          <c:showSerName val="0"/>
          <c:showPercent val="0"/>
          <c:showBubbleSize val="0"/>
        </c:dLbls>
        <c:marker val="1"/>
        <c:smooth val="0"/>
        <c:axId val="431886528"/>
        <c:axId val="431882264"/>
      </c:lineChart>
      <c:catAx>
        <c:axId val="4318865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882264"/>
        <c:crosses val="autoZero"/>
        <c:auto val="1"/>
        <c:lblAlgn val="ctr"/>
        <c:lblOffset val="100"/>
        <c:noMultiLvlLbl val="0"/>
      </c:catAx>
      <c:valAx>
        <c:axId val="4318822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88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365915</xdr:colOff>
      <xdr:row>0</xdr:row>
      <xdr:rowOff>148431</xdr:rowOff>
    </xdr:from>
    <xdr:to>
      <xdr:col>28</xdr:col>
      <xdr:colOff>39687</xdr:colOff>
      <xdr:row>28</xdr:row>
      <xdr:rowOff>115095</xdr:rowOff>
    </xdr:to>
    <xdr:graphicFrame macro="">
      <xdr:nvGraphicFramePr>
        <xdr:cNvPr id="2" name="Chart 1">
          <a:extLst>
            <a:ext uri="{FF2B5EF4-FFF2-40B4-BE49-F238E27FC236}">
              <a16:creationId xmlns:a16="http://schemas.microsoft.com/office/drawing/2014/main" id="{2E39C886-1E56-4907-AC2B-6CE251565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xdr:colOff>
      <xdr:row>0</xdr:row>
      <xdr:rowOff>38100</xdr:rowOff>
    </xdr:from>
    <xdr:to>
      <xdr:col>2</xdr:col>
      <xdr:colOff>1984374</xdr:colOff>
      <xdr:row>7</xdr:row>
      <xdr:rowOff>76200</xdr:rowOff>
    </xdr:to>
    <mc:AlternateContent xmlns:mc="http://schemas.openxmlformats.org/markup-compatibility/2006" xmlns:tsle="http://schemas.microsoft.com/office/drawing/2012/timeslicer">
      <mc:Choice Requires="tsle">
        <xdr:graphicFrame macro="">
          <xdr:nvGraphicFramePr>
            <xdr:cNvPr id="3" name="Ship Date">
              <a:extLst>
                <a:ext uri="{FF2B5EF4-FFF2-40B4-BE49-F238E27FC236}">
                  <a16:creationId xmlns:a16="http://schemas.microsoft.com/office/drawing/2014/main" id="{3C9D35C2-E5AB-4E4F-BF80-4A60676C0175}"/>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31750" y="38100"/>
              <a:ext cx="5016499"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0</xdr:row>
      <xdr:rowOff>109537</xdr:rowOff>
    </xdr:from>
    <xdr:to>
      <xdr:col>9</xdr:col>
      <xdr:colOff>561975</xdr:colOff>
      <xdr:row>14</xdr:row>
      <xdr:rowOff>185737</xdr:rowOff>
    </xdr:to>
    <xdr:graphicFrame macro="">
      <xdr:nvGraphicFramePr>
        <xdr:cNvPr id="2" name="Chart 1">
          <a:extLst>
            <a:ext uri="{FF2B5EF4-FFF2-40B4-BE49-F238E27FC236}">
              <a16:creationId xmlns:a16="http://schemas.microsoft.com/office/drawing/2014/main" id="{78C32BEB-CD4E-48DA-9CEF-79EE5E402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xdr:colOff>
      <xdr:row>0</xdr:row>
      <xdr:rowOff>19050</xdr:rowOff>
    </xdr:from>
    <xdr:to>
      <xdr:col>2</xdr:col>
      <xdr:colOff>85725</xdr:colOff>
      <xdr:row>7</xdr:row>
      <xdr:rowOff>28575</xdr:rowOff>
    </xdr:to>
    <mc:AlternateContent xmlns:mc="http://schemas.openxmlformats.org/markup-compatibility/2006" xmlns:tsle="http://schemas.microsoft.com/office/drawing/2012/timeslicer">
      <mc:Choice Requires="tsle">
        <xdr:graphicFrame macro="">
          <xdr:nvGraphicFramePr>
            <xdr:cNvPr id="3" name="Ship Date 1">
              <a:extLst>
                <a:ext uri="{FF2B5EF4-FFF2-40B4-BE49-F238E27FC236}">
                  <a16:creationId xmlns:a16="http://schemas.microsoft.com/office/drawing/2014/main" id="{F1E02E8F-0136-4854-A165-E593A80833BE}"/>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9525" y="19050"/>
              <a:ext cx="2590800" cy="134302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10</xdr:col>
      <xdr:colOff>228600</xdr:colOff>
      <xdr:row>0</xdr:row>
      <xdr:rowOff>123825</xdr:rowOff>
    </xdr:from>
    <xdr:to>
      <xdr:col>13</xdr:col>
      <xdr:colOff>228600</xdr:colOff>
      <xdr:row>13</xdr:row>
      <xdr:rowOff>171450</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39AC741B-6805-4F13-BE7D-A0D6858C043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620000" y="1238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352424</xdr:colOff>
      <xdr:row>1</xdr:row>
      <xdr:rowOff>138112</xdr:rowOff>
    </xdr:from>
    <xdr:to>
      <xdr:col>25</xdr:col>
      <xdr:colOff>133350</xdr:colOff>
      <xdr:row>23</xdr:row>
      <xdr:rowOff>76200</xdr:rowOff>
    </xdr:to>
    <xdr:graphicFrame macro="">
      <xdr:nvGraphicFramePr>
        <xdr:cNvPr id="3" name="Chart 2">
          <a:extLst>
            <a:ext uri="{FF2B5EF4-FFF2-40B4-BE49-F238E27FC236}">
              <a16:creationId xmlns:a16="http://schemas.microsoft.com/office/drawing/2014/main" id="{0B23C844-5040-46A6-84C9-1B12513E4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xdr:row>
      <xdr:rowOff>0</xdr:rowOff>
    </xdr:from>
    <xdr:to>
      <xdr:col>7</xdr:col>
      <xdr:colOff>0</xdr:colOff>
      <xdr:row>15</xdr:row>
      <xdr:rowOff>47625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5AA400BF-8777-4704-A42E-0F76999F8C8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52975" y="3810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295274</xdr:colOff>
      <xdr:row>1</xdr:row>
      <xdr:rowOff>61911</xdr:rowOff>
    </xdr:from>
    <xdr:to>
      <xdr:col>17</xdr:col>
      <xdr:colOff>485775</xdr:colOff>
      <xdr:row>18</xdr:row>
      <xdr:rowOff>180974</xdr:rowOff>
    </xdr:to>
    <xdr:graphicFrame macro="">
      <xdr:nvGraphicFramePr>
        <xdr:cNvPr id="4" name="Chart 3">
          <a:extLst>
            <a:ext uri="{FF2B5EF4-FFF2-40B4-BE49-F238E27FC236}">
              <a16:creationId xmlns:a16="http://schemas.microsoft.com/office/drawing/2014/main" id="{44BAAC4A-8BD2-41C4-B717-608AA329E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571500</xdr:colOff>
      <xdr:row>1</xdr:row>
      <xdr:rowOff>47625</xdr:rowOff>
    </xdr:from>
    <xdr:to>
      <xdr:col>20</xdr:col>
      <xdr:colOff>571500</xdr:colOff>
      <xdr:row>14</xdr:row>
      <xdr:rowOff>95250</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3C5A10FF-45AB-4942-8029-BE4E061401B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2487275" y="2381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1</xdr:rowOff>
    </xdr:from>
    <xdr:to>
      <xdr:col>35</xdr:col>
      <xdr:colOff>561732</xdr:colOff>
      <xdr:row>2</xdr:row>
      <xdr:rowOff>95250</xdr:rowOff>
    </xdr:to>
    <xdr:sp macro="" textlink="">
      <xdr:nvSpPr>
        <xdr:cNvPr id="2" name="Rectangle: Rounded Corners 1">
          <a:extLst>
            <a:ext uri="{FF2B5EF4-FFF2-40B4-BE49-F238E27FC236}">
              <a16:creationId xmlns:a16="http://schemas.microsoft.com/office/drawing/2014/main" id="{5BEF25F3-3D44-4976-B60B-EFA3732C0E40}"/>
            </a:ext>
          </a:extLst>
        </xdr:cNvPr>
        <xdr:cNvSpPr/>
      </xdr:nvSpPr>
      <xdr:spPr>
        <a:xfrm>
          <a:off x="1" y="1"/>
          <a:ext cx="22310481" cy="4762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D" sz="3000" b="1">
              <a:latin typeface="Arial" panose="020B0604020202020204" pitchFamily="34" charset="0"/>
              <a:cs typeface="Arial" panose="020B0604020202020204" pitchFamily="34" charset="0"/>
            </a:rPr>
            <a:t>Strategic Sales Performance &amp; Profitability Dashboard</a:t>
          </a:r>
          <a:endParaRPr lang="en-ID" sz="3000" b="1">
            <a:effectLst/>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2</xdr:row>
      <xdr:rowOff>123825</xdr:rowOff>
    </xdr:from>
    <xdr:to>
      <xdr:col>25</xdr:col>
      <xdr:colOff>408214</xdr:colOff>
      <xdr:row>8</xdr:row>
      <xdr:rowOff>41729</xdr:rowOff>
    </xdr:to>
    <mc:AlternateContent xmlns:mc="http://schemas.openxmlformats.org/markup-compatibility/2006" xmlns:tsle="http://schemas.microsoft.com/office/drawing/2012/timeslicer">
      <mc:Choice Requires="tsle">
        <xdr:graphicFrame macro="">
          <xdr:nvGraphicFramePr>
            <xdr:cNvPr id="3" name="Ship Date 3">
              <a:extLst>
                <a:ext uri="{FF2B5EF4-FFF2-40B4-BE49-F238E27FC236}">
                  <a16:creationId xmlns:a16="http://schemas.microsoft.com/office/drawing/2014/main" id="{E3F099EA-0107-46C1-8EF2-FF3BD4B91891}"/>
                </a:ext>
              </a:extLst>
            </xdr:cNvPr>
            <xdr:cNvGraphicFramePr/>
          </xdr:nvGraphicFramePr>
          <xdr:xfrm>
            <a:off x="0" y="0"/>
            <a:ext cx="0" cy="0"/>
          </xdr:xfrm>
          <a:graphic>
            <a:graphicData uri="http://schemas.microsoft.com/office/drawing/2012/timeslicer">
              <tsle:timeslicer name="Ship Date 3"/>
            </a:graphicData>
          </a:graphic>
        </xdr:graphicFrame>
      </mc:Choice>
      <mc:Fallback xmlns="">
        <xdr:sp macro="" textlink="">
          <xdr:nvSpPr>
            <xdr:cNvPr id="0" name=""/>
            <xdr:cNvSpPr>
              <a:spLocks noTextEdit="1"/>
            </xdr:cNvSpPr>
          </xdr:nvSpPr>
          <xdr:spPr>
            <a:xfrm>
              <a:off x="0" y="504825"/>
              <a:ext cx="22093814" cy="119697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0</xdr:col>
      <xdr:colOff>1</xdr:colOff>
      <xdr:row>9</xdr:row>
      <xdr:rowOff>149225</xdr:rowOff>
    </xdr:from>
    <xdr:to>
      <xdr:col>11</xdr:col>
      <xdr:colOff>287966</xdr:colOff>
      <xdr:row>11</xdr:row>
      <xdr:rowOff>127000</xdr:rowOff>
    </xdr:to>
    <xdr:sp macro="" textlink="">
      <xdr:nvSpPr>
        <xdr:cNvPr id="4" name="Rectangle 3">
          <a:extLst>
            <a:ext uri="{FF2B5EF4-FFF2-40B4-BE49-F238E27FC236}">
              <a16:creationId xmlns:a16="http://schemas.microsoft.com/office/drawing/2014/main" id="{3AB38FFA-34D2-43CA-BEAB-AA8E1417266B}"/>
            </a:ext>
          </a:extLst>
        </xdr:cNvPr>
        <xdr:cNvSpPr/>
      </xdr:nvSpPr>
      <xdr:spPr>
        <a:xfrm>
          <a:off x="1" y="1843789"/>
          <a:ext cx="6988692" cy="3543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500" b="1">
              <a:solidFill>
                <a:schemeClr val="bg1"/>
              </a:solidFill>
              <a:latin typeface="Arial" panose="020B0604020202020204" pitchFamily="34" charset="0"/>
              <a:cs typeface="Arial" panose="020B0604020202020204" pitchFamily="34" charset="0"/>
            </a:rPr>
            <a:t>Sales By Channel</a:t>
          </a:r>
        </a:p>
      </xdr:txBody>
    </xdr:sp>
    <xdr:clientData/>
  </xdr:twoCellAnchor>
  <xdr:twoCellAnchor>
    <xdr:from>
      <xdr:col>0</xdr:col>
      <xdr:colOff>0</xdr:colOff>
      <xdr:row>11</xdr:row>
      <xdr:rowOff>107950</xdr:rowOff>
    </xdr:from>
    <xdr:to>
      <xdr:col>11</xdr:col>
      <xdr:colOff>275165</xdr:colOff>
      <xdr:row>29</xdr:row>
      <xdr:rowOff>68034</xdr:rowOff>
    </xdr:to>
    <xdr:graphicFrame macro="">
      <xdr:nvGraphicFramePr>
        <xdr:cNvPr id="5" name="Chart 4">
          <a:extLst>
            <a:ext uri="{FF2B5EF4-FFF2-40B4-BE49-F238E27FC236}">
              <a16:creationId xmlns:a16="http://schemas.microsoft.com/office/drawing/2014/main" id="{4E853A10-5ECC-46B5-BFE8-2E8C19ACE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391583</xdr:colOff>
      <xdr:row>9</xdr:row>
      <xdr:rowOff>179916</xdr:rowOff>
    </xdr:from>
    <xdr:to>
      <xdr:col>14</xdr:col>
      <xdr:colOff>410633</xdr:colOff>
      <xdr:row>14</xdr:row>
      <xdr:rowOff>44978</xdr:rowOff>
    </xdr:to>
    <mc:AlternateContent xmlns:mc="http://schemas.openxmlformats.org/markup-compatibility/2006" xmlns:a14="http://schemas.microsoft.com/office/drawing/2010/main">
      <mc:Choice Requires="a14">
        <xdr:graphicFrame macro="">
          <xdr:nvGraphicFramePr>
            <xdr:cNvPr id="6" name="Sales Channel 2">
              <a:extLst>
                <a:ext uri="{FF2B5EF4-FFF2-40B4-BE49-F238E27FC236}">
                  <a16:creationId xmlns:a16="http://schemas.microsoft.com/office/drawing/2014/main" id="{4D77222D-9650-474E-AB7C-B160F9035830}"/>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6977440" y="1894416"/>
              <a:ext cx="1815193" cy="9808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396875</xdr:colOff>
      <xdr:row>15</xdr:row>
      <xdr:rowOff>31751</xdr:rowOff>
    </xdr:from>
    <xdr:to>
      <xdr:col>14</xdr:col>
      <xdr:colOff>415925</xdr:colOff>
      <xdr:row>27</xdr:row>
      <xdr:rowOff>128223</xdr:rowOff>
    </xdr:to>
    <mc:AlternateContent xmlns:mc="http://schemas.openxmlformats.org/markup-compatibility/2006" xmlns:a14="http://schemas.microsoft.com/office/drawing/2010/main">
      <mc:Choice Requires="a14">
        <xdr:graphicFrame macro="">
          <xdr:nvGraphicFramePr>
            <xdr:cNvPr id="7" name="Item Type 2">
              <a:extLst>
                <a:ext uri="{FF2B5EF4-FFF2-40B4-BE49-F238E27FC236}">
                  <a16:creationId xmlns:a16="http://schemas.microsoft.com/office/drawing/2014/main" id="{7AB8A087-1D12-4302-8BF8-C7CE0CC4F929}"/>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6982732" y="3188608"/>
              <a:ext cx="1815193" cy="25185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598081</xdr:colOff>
      <xdr:row>9</xdr:row>
      <xdr:rowOff>121830</xdr:rowOff>
    </xdr:from>
    <xdr:to>
      <xdr:col>25</xdr:col>
      <xdr:colOff>321192</xdr:colOff>
      <xdr:row>11</xdr:row>
      <xdr:rowOff>68019</xdr:rowOff>
    </xdr:to>
    <xdr:sp macro="" textlink="">
      <xdr:nvSpPr>
        <xdr:cNvPr id="8" name="Rectangle 7">
          <a:extLst>
            <a:ext uri="{FF2B5EF4-FFF2-40B4-BE49-F238E27FC236}">
              <a16:creationId xmlns:a16="http://schemas.microsoft.com/office/drawing/2014/main" id="{1E730746-F85A-4AD8-95DA-82094E8DDBC7}"/>
            </a:ext>
          </a:extLst>
        </xdr:cNvPr>
        <xdr:cNvSpPr/>
      </xdr:nvSpPr>
      <xdr:spPr>
        <a:xfrm>
          <a:off x="9126279" y="1816394"/>
          <a:ext cx="7044070" cy="32275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500" b="1">
              <a:solidFill>
                <a:schemeClr val="bg1"/>
              </a:solidFill>
              <a:latin typeface="Arial" panose="020B0604020202020204" pitchFamily="34" charset="0"/>
              <a:cs typeface="Arial" panose="020B0604020202020204" pitchFamily="34" charset="0"/>
            </a:rPr>
            <a:t>Profitabilitas Product</a:t>
          </a:r>
        </a:p>
      </xdr:txBody>
    </xdr:sp>
    <xdr:clientData/>
  </xdr:twoCellAnchor>
  <xdr:twoCellAnchor>
    <xdr:from>
      <xdr:col>15</xdr:col>
      <xdr:colOff>-1</xdr:colOff>
      <xdr:row>11</xdr:row>
      <xdr:rowOff>58209</xdr:rowOff>
    </xdr:from>
    <xdr:to>
      <xdr:col>25</xdr:col>
      <xdr:colOff>317499</xdr:colOff>
      <xdr:row>28</xdr:row>
      <xdr:rowOff>182034</xdr:rowOff>
    </xdr:to>
    <xdr:graphicFrame macro="">
      <xdr:nvGraphicFramePr>
        <xdr:cNvPr id="9" name="Chart 8">
          <a:extLst>
            <a:ext uri="{FF2B5EF4-FFF2-40B4-BE49-F238E27FC236}">
              <a16:creationId xmlns:a16="http://schemas.microsoft.com/office/drawing/2014/main" id="{D03A24CA-B2D8-4D5E-BEC4-F64C87047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71437</xdr:colOff>
      <xdr:row>32</xdr:row>
      <xdr:rowOff>104771</xdr:rowOff>
    </xdr:from>
    <xdr:to>
      <xdr:col>36</xdr:col>
      <xdr:colOff>119062</xdr:colOff>
      <xdr:row>59</xdr:row>
      <xdr:rowOff>95246</xdr:rowOff>
    </xdr:to>
    <xdr:graphicFrame macro="">
      <xdr:nvGraphicFramePr>
        <xdr:cNvPr id="11" name="Chart 10">
          <a:extLst>
            <a:ext uri="{FF2B5EF4-FFF2-40B4-BE49-F238E27FC236}">
              <a16:creationId xmlns:a16="http://schemas.microsoft.com/office/drawing/2014/main" id="{B39C4B92-157C-4470-A37B-E41E20E12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76203</xdr:colOff>
      <xdr:row>29</xdr:row>
      <xdr:rowOff>166686</xdr:rowOff>
    </xdr:from>
    <xdr:to>
      <xdr:col>36</xdr:col>
      <xdr:colOff>119064</xdr:colOff>
      <xdr:row>32</xdr:row>
      <xdr:rowOff>95250</xdr:rowOff>
    </xdr:to>
    <xdr:sp macro="" textlink="">
      <xdr:nvSpPr>
        <xdr:cNvPr id="12" name="Rectangle 11">
          <a:extLst>
            <a:ext uri="{FF2B5EF4-FFF2-40B4-BE49-F238E27FC236}">
              <a16:creationId xmlns:a16="http://schemas.microsoft.com/office/drawing/2014/main" id="{5F016335-2985-4103-92A8-959617668549}"/>
            </a:ext>
          </a:extLst>
        </xdr:cNvPr>
        <xdr:cNvSpPr/>
      </xdr:nvSpPr>
      <xdr:spPr>
        <a:xfrm>
          <a:off x="14935203" y="5691186"/>
          <a:ext cx="7472361" cy="50006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600" b="1">
              <a:latin typeface="Arial" panose="020B0604020202020204" pitchFamily="34" charset="0"/>
              <a:cs typeface="Arial" panose="020B0604020202020204" pitchFamily="34" charset="0"/>
            </a:rPr>
            <a:t>Profit-Driving Countries</a:t>
          </a:r>
          <a:endParaRPr lang="en-ID"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32</xdr:col>
      <xdr:colOff>365126</xdr:colOff>
      <xdr:row>3</xdr:row>
      <xdr:rowOff>108857</xdr:rowOff>
    </xdr:from>
    <xdr:to>
      <xdr:col>35</xdr:col>
      <xdr:colOff>498475</xdr:colOff>
      <xdr:row>25</xdr:row>
      <xdr:rowOff>161118</xdr:rowOff>
    </xdr:to>
    <mc:AlternateContent xmlns:mc="http://schemas.openxmlformats.org/markup-compatibility/2006" xmlns:a14="http://schemas.microsoft.com/office/drawing/2010/main">
      <mc:Choice Requires="a14">
        <xdr:graphicFrame macro="">
          <xdr:nvGraphicFramePr>
            <xdr:cNvPr id="13" name="Country 2">
              <a:extLst>
                <a:ext uri="{FF2B5EF4-FFF2-40B4-BE49-F238E27FC236}">
                  <a16:creationId xmlns:a16="http://schemas.microsoft.com/office/drawing/2014/main" id="{5E8291B8-4680-4DA3-A5C5-CCA3CF612F6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0149912" y="1794934"/>
              <a:ext cx="1929492" cy="37001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95249</xdr:colOff>
      <xdr:row>32</xdr:row>
      <xdr:rowOff>166687</xdr:rowOff>
    </xdr:from>
    <xdr:to>
      <xdr:col>23</xdr:col>
      <xdr:colOff>126999</xdr:colOff>
      <xdr:row>58</xdr:row>
      <xdr:rowOff>134937</xdr:rowOff>
    </xdr:to>
    <xdr:graphicFrame macro="">
      <xdr:nvGraphicFramePr>
        <xdr:cNvPr id="14" name="Chart 13">
          <a:extLst>
            <a:ext uri="{FF2B5EF4-FFF2-40B4-BE49-F238E27FC236}">
              <a16:creationId xmlns:a16="http://schemas.microsoft.com/office/drawing/2014/main" id="{E381F49E-FB9E-456D-ADB6-08ACF2035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95251</xdr:colOff>
      <xdr:row>30</xdr:row>
      <xdr:rowOff>23813</xdr:rowOff>
    </xdr:from>
    <xdr:to>
      <xdr:col>23</xdr:col>
      <xdr:colOff>127001</xdr:colOff>
      <xdr:row>33</xdr:row>
      <xdr:rowOff>1588</xdr:rowOff>
    </xdr:to>
    <xdr:sp macro="" textlink="">
      <xdr:nvSpPr>
        <xdr:cNvPr id="16" name="Rectangle 15">
          <a:extLst>
            <a:ext uri="{FF2B5EF4-FFF2-40B4-BE49-F238E27FC236}">
              <a16:creationId xmlns:a16="http://schemas.microsoft.com/office/drawing/2014/main" id="{7C94942E-FE9C-4666-A05C-B30075B6C4ED}"/>
            </a:ext>
          </a:extLst>
        </xdr:cNvPr>
        <xdr:cNvSpPr/>
      </xdr:nvSpPr>
      <xdr:spPr>
        <a:xfrm>
          <a:off x="95251" y="5738813"/>
          <a:ext cx="14271625" cy="549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D" sz="2000" b="1">
              <a:latin typeface="Arial" panose="020B0604020202020204" pitchFamily="34" charset="0"/>
              <a:cs typeface="Arial" panose="020B0604020202020204" pitchFamily="34" charset="0"/>
            </a:rPr>
            <a:t>Annual &amp; Monthly Sales Trend</a:t>
          </a:r>
          <a:endParaRPr lang="en-ID"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26</xdr:col>
      <xdr:colOff>47626</xdr:colOff>
      <xdr:row>12</xdr:row>
      <xdr:rowOff>13229</xdr:rowOff>
    </xdr:from>
    <xdr:to>
      <xdr:col>32</xdr:col>
      <xdr:colOff>171123</xdr:colOff>
      <xdr:row>16</xdr:row>
      <xdr:rowOff>135618</xdr:rowOff>
    </xdr:to>
    <xdr:sp macro="" textlink="">
      <xdr:nvSpPr>
        <xdr:cNvPr id="17" name="Rectangle: Rounded Corners 16">
          <a:extLst>
            <a:ext uri="{FF2B5EF4-FFF2-40B4-BE49-F238E27FC236}">
              <a16:creationId xmlns:a16="http://schemas.microsoft.com/office/drawing/2014/main" id="{18D8F849-C0EE-4E95-B318-B5B9071BDE21}"/>
            </a:ext>
          </a:extLst>
        </xdr:cNvPr>
        <xdr:cNvSpPr/>
      </xdr:nvSpPr>
      <xdr:spPr>
        <a:xfrm>
          <a:off x="16621126" y="2468562"/>
          <a:ext cx="3806497" cy="884389"/>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600" b="1">
            <a:latin typeface="Arial" panose="020B0604020202020204" pitchFamily="34" charset="0"/>
            <a:cs typeface="Arial" panose="020B0604020202020204" pitchFamily="34" charset="0"/>
          </a:endParaRPr>
        </a:p>
      </xdr:txBody>
    </xdr:sp>
    <xdr:clientData/>
  </xdr:twoCellAnchor>
  <xdr:twoCellAnchor>
    <xdr:from>
      <xdr:col>26</xdr:col>
      <xdr:colOff>63499</xdr:colOff>
      <xdr:row>11</xdr:row>
      <xdr:rowOff>84668</xdr:rowOff>
    </xdr:from>
    <xdr:to>
      <xdr:col>31</xdr:col>
      <xdr:colOff>217164</xdr:colOff>
      <xdr:row>12</xdr:row>
      <xdr:rowOff>99959</xdr:rowOff>
    </xdr:to>
    <xdr:sp macro="" textlink="">
      <xdr:nvSpPr>
        <xdr:cNvPr id="18" name="Rectangle: Rounded Corners 17">
          <a:extLst>
            <a:ext uri="{FF2B5EF4-FFF2-40B4-BE49-F238E27FC236}">
              <a16:creationId xmlns:a16="http://schemas.microsoft.com/office/drawing/2014/main" id="{02E01920-304D-4B17-BDCC-32D414A4CE1A}"/>
            </a:ext>
          </a:extLst>
        </xdr:cNvPr>
        <xdr:cNvSpPr/>
      </xdr:nvSpPr>
      <xdr:spPr>
        <a:xfrm>
          <a:off x="16636999" y="2180168"/>
          <a:ext cx="3222832" cy="3751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b="1">
              <a:latin typeface="Arial" panose="020B0604020202020204" pitchFamily="34" charset="0"/>
              <a:cs typeface="Arial" panose="020B0604020202020204" pitchFamily="34" charset="0"/>
            </a:rPr>
            <a:t>Total Profit:</a:t>
          </a:r>
        </a:p>
      </xdr:txBody>
    </xdr:sp>
    <xdr:clientData/>
  </xdr:twoCellAnchor>
  <xdr:twoCellAnchor>
    <xdr:from>
      <xdr:col>26</xdr:col>
      <xdr:colOff>48846</xdr:colOff>
      <xdr:row>19</xdr:row>
      <xdr:rowOff>170959</xdr:rowOff>
    </xdr:from>
    <xdr:to>
      <xdr:col>32</xdr:col>
      <xdr:colOff>195385</xdr:colOff>
      <xdr:row>25</xdr:row>
      <xdr:rowOff>48845</xdr:rowOff>
    </xdr:to>
    <xdr:sp macro="" textlink="">
      <xdr:nvSpPr>
        <xdr:cNvPr id="19" name="Rectangle: Rounded Corners 18">
          <a:extLst>
            <a:ext uri="{FF2B5EF4-FFF2-40B4-BE49-F238E27FC236}">
              <a16:creationId xmlns:a16="http://schemas.microsoft.com/office/drawing/2014/main" id="{78AC366E-E1A5-467D-9AC8-7D84F580C15D}"/>
            </a:ext>
          </a:extLst>
        </xdr:cNvPr>
        <xdr:cNvSpPr/>
      </xdr:nvSpPr>
      <xdr:spPr>
        <a:xfrm>
          <a:off x="16534423" y="4176344"/>
          <a:ext cx="3810000" cy="1050193"/>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600" b="1">
            <a:latin typeface="Arial" panose="020B0604020202020204" pitchFamily="34" charset="0"/>
            <a:cs typeface="Arial" panose="020B0604020202020204" pitchFamily="34" charset="0"/>
          </a:endParaRPr>
        </a:p>
      </xdr:txBody>
    </xdr:sp>
    <xdr:clientData/>
  </xdr:twoCellAnchor>
  <xdr:twoCellAnchor>
    <xdr:from>
      <xdr:col>26</xdr:col>
      <xdr:colOff>97692</xdr:colOff>
      <xdr:row>19</xdr:row>
      <xdr:rowOff>-1</xdr:rowOff>
    </xdr:from>
    <xdr:to>
      <xdr:col>31</xdr:col>
      <xdr:colOff>283141</xdr:colOff>
      <xdr:row>20</xdr:row>
      <xdr:rowOff>187932</xdr:rowOff>
    </xdr:to>
    <xdr:sp macro="" textlink="">
      <xdr:nvSpPr>
        <xdr:cNvPr id="20" name="Rectangle: Rounded Corners 19">
          <a:extLst>
            <a:ext uri="{FF2B5EF4-FFF2-40B4-BE49-F238E27FC236}">
              <a16:creationId xmlns:a16="http://schemas.microsoft.com/office/drawing/2014/main" id="{57954E05-43C7-46D5-BE3A-5256E0CCA0DC}"/>
            </a:ext>
          </a:extLst>
        </xdr:cNvPr>
        <xdr:cNvSpPr/>
      </xdr:nvSpPr>
      <xdr:spPr>
        <a:xfrm>
          <a:off x="16583269" y="4005384"/>
          <a:ext cx="3238334" cy="3833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latin typeface="Arial" panose="020B0604020202020204" pitchFamily="34" charset="0"/>
              <a:cs typeface="Arial" panose="020B0604020202020204" pitchFamily="34" charset="0"/>
            </a:rPr>
            <a:t>Total Profit Margin Per Category:</a:t>
          </a:r>
        </a:p>
      </xdr:txBody>
    </xdr:sp>
    <xdr:clientData/>
  </xdr:twoCellAnchor>
  <xdr:twoCellAnchor>
    <xdr:from>
      <xdr:col>26</xdr:col>
      <xdr:colOff>20412</xdr:colOff>
      <xdr:row>4</xdr:row>
      <xdr:rowOff>46491</xdr:rowOff>
    </xdr:from>
    <xdr:to>
      <xdr:col>32</xdr:col>
      <xdr:colOff>143909</xdr:colOff>
      <xdr:row>9</xdr:row>
      <xdr:rowOff>114451</xdr:rowOff>
    </xdr:to>
    <xdr:sp macro="" textlink="">
      <xdr:nvSpPr>
        <xdr:cNvPr id="21" name="Rectangle: Rounded Corners 20">
          <a:extLst>
            <a:ext uri="{FF2B5EF4-FFF2-40B4-BE49-F238E27FC236}">
              <a16:creationId xmlns:a16="http://schemas.microsoft.com/office/drawing/2014/main" id="{335BCA4E-F97D-4BEA-A630-5FF42A679D3C}"/>
            </a:ext>
          </a:extLst>
        </xdr:cNvPr>
        <xdr:cNvSpPr/>
      </xdr:nvSpPr>
      <xdr:spPr>
        <a:xfrm>
          <a:off x="16212912" y="808491"/>
          <a:ext cx="3715783" cy="102046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600" b="1">
            <a:latin typeface="Arial" panose="020B0604020202020204" pitchFamily="34" charset="0"/>
            <a:cs typeface="Arial" panose="020B0604020202020204" pitchFamily="34" charset="0"/>
          </a:endParaRPr>
        </a:p>
      </xdr:txBody>
    </xdr:sp>
    <xdr:clientData/>
  </xdr:twoCellAnchor>
  <xdr:twoCellAnchor>
    <xdr:from>
      <xdr:col>26</xdr:col>
      <xdr:colOff>90713</xdr:colOff>
      <xdr:row>3</xdr:row>
      <xdr:rowOff>111882</xdr:rowOff>
    </xdr:from>
    <xdr:to>
      <xdr:col>31</xdr:col>
      <xdr:colOff>244378</xdr:colOff>
      <xdr:row>5</xdr:row>
      <xdr:rowOff>99959</xdr:rowOff>
    </xdr:to>
    <xdr:sp macro="" textlink="">
      <xdr:nvSpPr>
        <xdr:cNvPr id="22" name="Rectangle: Rounded Corners 21">
          <a:extLst>
            <a:ext uri="{FF2B5EF4-FFF2-40B4-BE49-F238E27FC236}">
              <a16:creationId xmlns:a16="http://schemas.microsoft.com/office/drawing/2014/main" id="{678A898B-D127-4CB3-A0D3-4059456D45CA}"/>
            </a:ext>
          </a:extLst>
        </xdr:cNvPr>
        <xdr:cNvSpPr/>
      </xdr:nvSpPr>
      <xdr:spPr>
        <a:xfrm>
          <a:off x="16283213" y="683382"/>
          <a:ext cx="3147236" cy="3690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b="1">
              <a:latin typeface="Arial" panose="020B0604020202020204" pitchFamily="34" charset="0"/>
              <a:cs typeface="Arial" panose="020B0604020202020204" pitchFamily="34" charset="0"/>
            </a:rPr>
            <a:t>Total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3.733959027777" createdVersion="7" refreshedVersion="7" minRefreshableVersion="3" recordCount="100" xr:uid="{14084CDB-02E7-4004-A0B7-9C60A67C4686}">
  <cacheSource type="worksheet">
    <worksheetSource name="SalesSummary"/>
  </cacheSource>
  <cacheFields count="12">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ontainsBlank="1" count="13">
        <s v="Baby Food"/>
        <s v="Cereal"/>
        <s v="Office Supplies"/>
        <s v="Fruits"/>
        <s v="Household"/>
        <s v="Vegetables"/>
        <s v="Personal Care"/>
        <s v="Clothes"/>
        <s v="Cosmetics"/>
        <s v="Beverages"/>
        <s v="Meat"/>
        <s v="Snacks"/>
        <m u="1"/>
      </sharedItems>
    </cacheField>
    <cacheField name="Sales Channel" numFmtId="0">
      <sharedItems count="2">
        <s v="Offline"/>
        <s v="Online"/>
      </sharedItems>
    </cacheField>
    <cacheField name="Order Priority" numFmtId="0">
      <sharedItems/>
    </cacheField>
    <cacheField name="Ship Date" numFmtId="14">
      <sharedItems containsSemiMixedTypes="0" containsNonDate="0" containsDate="1" containsString="0" minDate="2010-01-08T00:00:00" maxDate="2017-06-18T00:00:00" count="99">
        <d v="2010-06-27T00:00:00"/>
        <d v="2012-09-15T00:00:00"/>
        <d v="2014-08-05T00:00:00"/>
        <d v="2014-05-07T00:00:00"/>
        <d v="2013-06-02T00:00:00"/>
        <d v="2015-02-21T00:00:00"/>
        <d v="2011-04-27T00:00:00"/>
        <d v="2012-07-27T00:00:00"/>
        <d v="2015-08-25T00:00:00"/>
        <d v="2014-05-30T00:00:00"/>
        <d v="2011-12-07T00:00:00"/>
        <d v="2014-08-19T00:00:00"/>
        <d v="2017-01-03T00:00:00"/>
        <d v="2017-02-13T00:00:00"/>
        <d v="2014-02-23T00:00:00"/>
        <d v="2012-03-06T00:00:00"/>
        <d v="2016-12-18T00:00:00"/>
        <d v="2015-04-18T00:00:00"/>
        <d v="2011-01-20T00:00:00"/>
        <d v="2012-11-09T00:00:00"/>
        <d v="2014-06-28T00:00:00"/>
        <d v="2015-03-09T00:00:00"/>
        <d v="2016-07-26T00:00:00"/>
        <d v="2014-04-10T00:00:00"/>
        <d v="2016-10-05T00:00:00"/>
        <d v="2017-05-06T00:00:00"/>
        <d v="2014-10-11T00:00:00"/>
        <d v="2010-10-05T00:00:00"/>
        <d v="2014-07-30T00:00:00"/>
        <d v="2012-09-06T00:00:00"/>
        <d v="2012-10-20T00:00:00"/>
        <d v="2014-01-28T00:00:00"/>
        <d v="2015-11-25T00:00:00"/>
        <d v="2015-01-03T00:00:00"/>
        <d v="2017-02-25T00:00:00"/>
        <d v="2017-05-21T00:00:00"/>
        <d v="2011-03-12T00:00:00"/>
        <d v="2017-01-23T00:00:00"/>
        <d v="2012-08-05T00:00:00"/>
        <d v="2012-02-28T00:00:00"/>
        <d v="2017-03-28T00:00:00"/>
        <d v="2010-02-25T00:00:00"/>
        <d v="2012-08-06T00:00:00"/>
        <d v="2012-10-11T00:00:00"/>
        <d v="2015-11-18T00:00:00"/>
        <d v="2016-04-29T00:00:00"/>
        <d v="2016-12-31T00:00:00"/>
        <d v="2011-01-31T00:00:00"/>
        <d v="2014-11-14T00:00:00"/>
        <d v="2012-01-13T00:00:00"/>
        <d v="2010-03-18T00:00:00"/>
        <d v="2013-09-18T00:00:00"/>
        <d v="2013-03-28T00:00:00"/>
        <d v="2012-07-01T00:00:00"/>
        <d v="2013-10-24T00:00:00"/>
        <d v="2012-06-27T00:00:00"/>
        <d v="2010-01-08T00:00:00"/>
        <d v="2015-02-03T00:00:00"/>
        <d v="2012-02-14T00:00:00"/>
        <d v="2014-04-19T00:00:00"/>
        <d v="2013-02-07T00:00:00"/>
        <d v="2013-01-07T00:00:00"/>
        <d v="2011-11-15T00:00:00"/>
        <d v="2010-11-17T00:00:00"/>
        <d v="2013-11-16T00:00:00"/>
        <d v="2013-11-25T00:00:00"/>
        <d v="2012-09-07T00:00:00"/>
        <d v="2016-07-09T00:00:00"/>
        <d v="2015-05-28T00:00:00"/>
        <d v="2013-05-20T00:00:00"/>
        <d v="2015-09-30T00:00:00"/>
        <d v="2011-07-15T00:00:00"/>
        <d v="2017-06-17T00:00:00"/>
        <d v="2013-08-16T00:00:00"/>
        <d v="2014-12-12T00:00:00"/>
        <d v="2014-11-15T00:00:00"/>
        <d v="2011-10-23T00:00:00"/>
        <d v="2012-02-06T00:00:00"/>
        <d v="2013-07-08T00:00:00"/>
        <d v="2012-11-30T00:00:00"/>
        <d v="2012-08-10T00:00:00"/>
        <d v="2016-08-12T00:00:00"/>
        <d v="2011-05-01T00:00:00"/>
        <d v="2012-07-04T00:00:00"/>
        <d v="2012-03-20T00:00:00"/>
        <d v="2011-01-21T00:00:00"/>
        <d v="2014-03-20T00:00:00"/>
        <d v="2012-05-18T00:00:00"/>
        <d v="2016-11-25T00:00:00"/>
        <d v="2016-12-14T00:00:00"/>
        <d v="2014-11-07T00:00:00"/>
        <d v="2012-07-24T00:00:00"/>
        <d v="2010-12-25T00:00:00"/>
        <d v="2011-03-21T00:00:00"/>
        <d v="2011-03-09T00:00:00"/>
        <d v="2011-12-28T00:00:00"/>
        <d v="2016-06-29T00:00:00"/>
        <d v="2015-08-08T00:00:00"/>
        <d v="2012-02-15T00:00:00"/>
      </sharedItems>
      <fieldGroup par="11" base="4">
        <rangePr groupBy="months" startDate="2010-01-08T00:00:00" endDate="2017-06-18T00:00:00"/>
        <groupItems count="14">
          <s v="&lt;08/01/2010"/>
          <s v="Jan"/>
          <s v="Feb"/>
          <s v="Mar"/>
          <s v="Apr"/>
          <s v="May"/>
          <s v="Jun"/>
          <s v="Jul"/>
          <s v="Aug"/>
          <s v="Sep"/>
          <s v="Oct"/>
          <s v="Nov"/>
          <s v="Dec"/>
          <s v="&gt;18/06/2017"/>
        </groupItems>
      </fieldGroup>
    </cacheField>
    <cacheField name="Unit Cost" numFmtId="164">
      <sharedItems containsSemiMixedTypes="0" containsString="0" containsNumber="1" containsInteger="1" minValue="692" maxValue="52496"/>
    </cacheField>
    <cacheField name="Total Revenue" numFmtId="164">
      <sharedItems containsSemiMixedTypes="0" containsString="0" containsNumber="1" containsInteger="1" minValue="487026" maxValue="599705498"/>
    </cacheField>
    <cacheField name="Total Profit" numFmtId="164">
      <sharedItems containsSemiMixedTypes="0" containsString="0" containsNumber="1" containsInteger="1" minValue="119685" maxValue="171992204"/>
    </cacheField>
    <cacheField name="Sales Expenses" numFmtId="164">
      <sharedItems containsSemiMixedTypes="0" containsString="0" containsNumber="1" containsInteger="1" minValue="361224" maxValue="450979396"/>
    </cacheField>
    <cacheField name="Profit Margin" numFmtId="0">
      <sharedItems containsSemiMixedTypes="0" containsString="0" containsNumber="1" minValue="1.9386987300563567E-3" maxValue="0.77397766153856673" count="36">
        <n v="0.37550924475086178"/>
        <n v="0.43067574137092851"/>
        <n v="0.19386987300563566"/>
        <n v="0.25830653804930331"/>
        <n v="1.9386987300563565E-2"/>
        <n v="0.24799856345489099"/>
        <n v="0.40977541217707386"/>
        <n v="0.30661935641747218"/>
        <n v="0.4324493422089048"/>
        <n v="0.67203513909224011"/>
        <n v="0.39880158159703671"/>
        <n v="0.33003161222339306"/>
        <n v="1.3558036455000118E-2"/>
        <n v="0.36138419189933152"/>
        <n v="0.39768984446477584"/>
        <n v="0.40604652584228479"/>
        <n v="3.0661935641747216E-2"/>
        <n v="1.9386987300563567E-3"/>
        <n v="0.39799618037757323"/>
        <n v="0.43559742614674379"/>
        <n v="0.4308391648198453"/>
        <n v="0.39830499265805791"/>
        <n v="0.44792429130933009"/>
        <n v="0.39904838875535359"/>
        <n v="0.40459740551720863"/>
        <n v="0.58078546370935569"/>
        <n v="0.4207643217574929"/>
        <n v="0.77397766153856673"/>
        <n v="0.44895247803418292"/>
        <n v="0.39975147904524905"/>
        <n v="0.39945546589377573"/>
        <n v="0.40241209837683434"/>
        <n v="0.33153894136477069"/>
        <n v="0.39341546596780641"/>
        <n v="0.32774669719201083"/>
        <n v="0.40781669713283891"/>
      </sharedItems>
    </cacheField>
    <cacheField name="Quarters" numFmtId="0" databaseField="0">
      <fieldGroup base="4">
        <rangePr groupBy="quarters" startDate="2010-01-08T00:00:00" endDate="2017-06-18T00:00:00"/>
        <groupItems count="6">
          <s v="&lt;08/01/2010"/>
          <s v="Qtr1"/>
          <s v="Qtr2"/>
          <s v="Qtr3"/>
          <s v="Qtr4"/>
          <s v="&gt;18/06/2017"/>
        </groupItems>
      </fieldGroup>
    </cacheField>
    <cacheField name="Years" numFmtId="0" databaseField="0">
      <fieldGroup base="4">
        <rangePr groupBy="years" startDate="2010-01-08T00:00:00" endDate="2017-06-18T00:00:00"/>
        <groupItems count="10">
          <s v="&lt;08/01/2010"/>
          <s v="2010"/>
          <s v="2011"/>
          <s v="2012"/>
          <s v="2013"/>
          <s v="2014"/>
          <s v="2015"/>
          <s v="2016"/>
          <s v="2017"/>
          <s v="&gt;18/06/2017"/>
        </groupItems>
      </fieldGroup>
    </cacheField>
  </cacheFields>
  <extLst>
    <ext xmlns:x14="http://schemas.microsoft.com/office/spreadsheetml/2009/9/main" uri="{725AE2AE-9491-48be-B2B4-4EB974FC3084}">
      <x14:pivotCacheDefinition pivotCacheId="38650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H"/>
    <x v="0"/>
    <n v="15942"/>
    <n v="25336540"/>
    <n v="9514105"/>
    <n v="15822435"/>
    <x v="0"/>
  </r>
  <r>
    <x v="1"/>
    <x v="1"/>
    <x v="1"/>
    <s v="C"/>
    <x v="1"/>
    <n v="11711"/>
    <n v="57678280"/>
    <n v="24840636"/>
    <n v="32837644"/>
    <x v="1"/>
  </r>
  <r>
    <x v="2"/>
    <x v="2"/>
    <x v="0"/>
    <s v="L"/>
    <x v="2"/>
    <n v="52496"/>
    <n v="115850259"/>
    <n v="22459875"/>
    <n v="93390384"/>
    <x v="2"/>
  </r>
  <r>
    <x v="3"/>
    <x v="3"/>
    <x v="1"/>
    <s v="C"/>
    <x v="3"/>
    <n v="692"/>
    <n v="7559166"/>
    <n v="1952582"/>
    <n v="5606584"/>
    <x v="3"/>
  </r>
  <r>
    <x v="4"/>
    <x v="2"/>
    <x v="0"/>
    <s v="L"/>
    <x v="4"/>
    <n v="52496"/>
    <n v="329642502"/>
    <n v="6390775"/>
    <n v="323251727"/>
    <x v="4"/>
  </r>
  <r>
    <x v="5"/>
    <x v="0"/>
    <x v="1"/>
    <s v="C"/>
    <x v="5"/>
    <n v="15942"/>
    <n v="75920272"/>
    <n v="28508764"/>
    <n v="47411508"/>
    <x v="0"/>
  </r>
  <r>
    <x v="6"/>
    <x v="4"/>
    <x v="0"/>
    <s v="M"/>
    <x v="6"/>
    <n v="50254"/>
    <n v="279804649"/>
    <n v="69391151"/>
    <n v="210413498"/>
    <x v="5"/>
  </r>
  <r>
    <x v="7"/>
    <x v="5"/>
    <x v="1"/>
    <s v="H"/>
    <x v="7"/>
    <n v="9093"/>
    <n v="124511292"/>
    <n v="51021666"/>
    <n v="73489626"/>
    <x v="6"/>
  </r>
  <r>
    <x v="8"/>
    <x v="6"/>
    <x v="0"/>
    <s v="M"/>
    <x v="8"/>
    <n v="5667"/>
    <n v="4961011"/>
    <n v="1521142"/>
    <n v="3439869"/>
    <x v="7"/>
  </r>
  <r>
    <x v="9"/>
    <x v="1"/>
    <x v="1"/>
    <s v="H"/>
    <x v="9"/>
    <n v="11711"/>
    <n v="135061801"/>
    <n v="58407387"/>
    <n v="76654414"/>
    <x v="8"/>
  </r>
  <r>
    <x v="10"/>
    <x v="5"/>
    <x v="1"/>
    <s v="H"/>
    <x v="10"/>
    <n v="9093"/>
    <n v="1910344"/>
    <n v="782812"/>
    <n v="1127532"/>
    <x v="6"/>
  </r>
  <r>
    <x v="11"/>
    <x v="7"/>
    <x v="0"/>
    <s v="H"/>
    <x v="11"/>
    <n v="3584"/>
    <n v="45547904"/>
    <n v="30609792"/>
    <n v="14938112"/>
    <x v="9"/>
  </r>
  <r>
    <x v="12"/>
    <x v="7"/>
    <x v="1"/>
    <s v="L"/>
    <x v="12"/>
    <n v="3584"/>
    <n v="90298064"/>
    <n v="60683472"/>
    <n v="29614592"/>
    <x v="9"/>
  </r>
  <r>
    <x v="13"/>
    <x v="4"/>
    <x v="0"/>
    <s v="H"/>
    <x v="13"/>
    <n v="50254"/>
    <n v="599705498"/>
    <n v="148726102"/>
    <n v="450979396"/>
    <x v="5"/>
  </r>
  <r>
    <x v="14"/>
    <x v="6"/>
    <x v="0"/>
    <s v="C"/>
    <x v="14"/>
    <n v="5667"/>
    <n v="40055873"/>
    <n v="12281906"/>
    <n v="27773967"/>
    <x v="7"/>
  </r>
  <r>
    <x v="15"/>
    <x v="7"/>
    <x v="1"/>
    <s v="M"/>
    <x v="15"/>
    <n v="3584"/>
    <n v="18282544"/>
    <n v="12286512"/>
    <n v="5996032"/>
    <x v="9"/>
  </r>
  <r>
    <x v="16"/>
    <x v="8"/>
    <x v="0"/>
    <s v="M"/>
    <x v="16"/>
    <n v="26333"/>
    <n v="303094144"/>
    <n v="120874424"/>
    <n v="182219720"/>
    <x v="10"/>
  </r>
  <r>
    <x v="17"/>
    <x v="9"/>
    <x v="0"/>
    <s v="C"/>
    <x v="17"/>
    <n v="3179"/>
    <n v="2576535"/>
    <n v="850338"/>
    <n v="1726197"/>
    <x v="11"/>
  </r>
  <r>
    <x v="18"/>
    <x v="4"/>
    <x v="0"/>
    <s v="L"/>
    <x v="18"/>
    <n v="50254"/>
    <n v="25594741"/>
    <n v="6347459"/>
    <n v="19247282"/>
    <x v="5"/>
  </r>
  <r>
    <x v="19"/>
    <x v="10"/>
    <x v="1"/>
    <s v="L"/>
    <x v="19"/>
    <n v="36469"/>
    <n v="249252612"/>
    <n v="3379376"/>
    <n v="245873236"/>
    <x v="12"/>
  </r>
  <r>
    <x v="20"/>
    <x v="0"/>
    <x v="1"/>
    <s v="L"/>
    <x v="20"/>
    <n v="15942"/>
    <n v="1901836"/>
    <n v="714157"/>
    <n v="1187679"/>
    <x v="0"/>
  </r>
  <r>
    <x v="21"/>
    <x v="0"/>
    <x v="1"/>
    <s v="H"/>
    <x v="21"/>
    <n v="15942"/>
    <n v="32497144"/>
    <n v="12202978"/>
    <n v="20294166"/>
    <x v="0"/>
  </r>
  <r>
    <x v="13"/>
    <x v="11"/>
    <x v="1"/>
    <s v="L"/>
    <x v="22"/>
    <n v="9744"/>
    <n v="3394905"/>
    <n v="1226865"/>
    <n v="2168040"/>
    <x v="13"/>
  </r>
  <r>
    <x v="22"/>
    <x v="3"/>
    <x v="1"/>
    <s v="H"/>
    <x v="23"/>
    <n v="692"/>
    <n v="2040471"/>
    <n v="527067"/>
    <n v="1513404"/>
    <x v="3"/>
  </r>
  <r>
    <x v="23"/>
    <x v="6"/>
    <x v="1"/>
    <s v="L"/>
    <x v="24"/>
    <n v="5667"/>
    <n v="4143711"/>
    <n v="1270542"/>
    <n v="2873169"/>
    <x v="7"/>
  </r>
  <r>
    <x v="24"/>
    <x v="8"/>
    <x v="1"/>
    <s v="H"/>
    <x v="25"/>
    <n v="26333"/>
    <n v="79351800"/>
    <n v="31557405"/>
    <n v="47794395"/>
    <x v="14"/>
  </r>
  <r>
    <x v="25"/>
    <x v="3"/>
    <x v="1"/>
    <s v="M"/>
    <x v="26"/>
    <n v="692"/>
    <n v="5036334"/>
    <n v="1300918"/>
    <n v="3735416"/>
    <x v="3"/>
  </r>
  <r>
    <x v="26"/>
    <x v="3"/>
    <x v="1"/>
    <s v="L"/>
    <x v="27"/>
    <n v="692"/>
    <n v="5431926"/>
    <n v="1403102"/>
    <n v="4028824"/>
    <x v="3"/>
  </r>
  <r>
    <x v="20"/>
    <x v="9"/>
    <x v="0"/>
    <s v="C"/>
    <x v="28"/>
    <n v="3179"/>
    <n v="24313380"/>
    <n v="8024184"/>
    <n v="16289196"/>
    <x v="11"/>
  </r>
  <r>
    <x v="27"/>
    <x v="4"/>
    <x v="0"/>
    <s v="L"/>
    <x v="29"/>
    <n v="50254"/>
    <n v="15837999"/>
    <n v="3927801"/>
    <n v="11910198"/>
    <x v="5"/>
  </r>
  <r>
    <x v="28"/>
    <x v="8"/>
    <x v="0"/>
    <s v="M"/>
    <x v="30"/>
    <n v="26333"/>
    <n v="370865892"/>
    <n v="150588807"/>
    <n v="220277085"/>
    <x v="15"/>
  </r>
  <r>
    <x v="29"/>
    <x v="6"/>
    <x v="0"/>
    <s v="C"/>
    <x v="31"/>
    <n v="5667"/>
    <n v="17367625"/>
    <n v="532525"/>
    <n v="16835100"/>
    <x v="16"/>
  </r>
  <r>
    <x v="30"/>
    <x v="2"/>
    <x v="1"/>
    <s v="C"/>
    <x v="32"/>
    <n v="52496"/>
    <n v="190413804"/>
    <n v="369155"/>
    <n v="190044649"/>
    <x v="17"/>
  </r>
  <r>
    <x v="31"/>
    <x v="4"/>
    <x v="0"/>
    <s v="H"/>
    <x v="33"/>
    <n v="50254"/>
    <n v="55132275"/>
    <n v="13672725"/>
    <n v="41459550"/>
    <x v="5"/>
  </r>
  <r>
    <x v="32"/>
    <x v="11"/>
    <x v="1"/>
    <s v="M"/>
    <x v="34"/>
    <n v="9744"/>
    <n v="111795366"/>
    <n v="40401078"/>
    <n v="71394288"/>
    <x v="13"/>
  </r>
  <r>
    <x v="33"/>
    <x v="6"/>
    <x v="0"/>
    <s v="L"/>
    <x v="35"/>
    <n v="5667"/>
    <n v="52380757"/>
    <n v="16060954"/>
    <n v="36319803"/>
    <x v="7"/>
  </r>
  <r>
    <x v="34"/>
    <x v="3"/>
    <x v="1"/>
    <s v="L"/>
    <x v="36"/>
    <n v="692"/>
    <n v="3530472"/>
    <n v="911944"/>
    <n v="2618528"/>
    <x v="3"/>
  </r>
  <r>
    <x v="27"/>
    <x v="10"/>
    <x v="1"/>
    <s v="M"/>
    <x v="37"/>
    <n v="36469"/>
    <n v="201114963"/>
    <n v="2726724"/>
    <n v="198388239"/>
    <x v="12"/>
  </r>
  <r>
    <x v="35"/>
    <x v="2"/>
    <x v="1"/>
    <s v="L"/>
    <x v="38"/>
    <n v="52496"/>
    <n v="436831668"/>
    <n v="846885"/>
    <n v="435984783"/>
    <x v="17"/>
  </r>
  <r>
    <x v="15"/>
    <x v="2"/>
    <x v="1"/>
    <s v="M"/>
    <x v="39"/>
    <n v="52496"/>
    <n v="259637427"/>
    <n v="50335875"/>
    <n v="209301552"/>
    <x v="2"/>
  </r>
  <r>
    <x v="36"/>
    <x v="6"/>
    <x v="1"/>
    <s v="H"/>
    <x v="40"/>
    <n v="5667"/>
    <n v="24641595"/>
    <n v="755559"/>
    <n v="23886036"/>
    <x v="16"/>
  </r>
  <r>
    <x v="37"/>
    <x v="8"/>
    <x v="1"/>
    <s v="M"/>
    <x v="41"/>
    <n v="26333"/>
    <n v="316027048"/>
    <n v="125777558"/>
    <n v="190249490"/>
    <x v="18"/>
  </r>
  <r>
    <x v="27"/>
    <x v="1"/>
    <x v="0"/>
    <s v="H"/>
    <x v="42"/>
    <n v="11711"/>
    <n v="43054669"/>
    <n v="18754503"/>
    <n v="24300166"/>
    <x v="19"/>
  </r>
  <r>
    <x v="38"/>
    <x v="5"/>
    <x v="1"/>
    <s v="H"/>
    <x v="43"/>
    <n v="9093"/>
    <n v="2634426"/>
    <n v="1079523"/>
    <n v="1554903"/>
    <x v="6"/>
  </r>
  <r>
    <x v="31"/>
    <x v="7"/>
    <x v="1"/>
    <s v="H"/>
    <x v="44"/>
    <n v="3584"/>
    <n v="6480304"/>
    <n v="4354992"/>
    <n v="2125312"/>
    <x v="9"/>
  </r>
  <r>
    <x v="39"/>
    <x v="1"/>
    <x v="0"/>
    <s v="H"/>
    <x v="45"/>
    <n v="11711"/>
    <n v="19780834"/>
    <n v="8522358"/>
    <n v="11258476"/>
    <x v="20"/>
  </r>
  <r>
    <x v="40"/>
    <x v="8"/>
    <x v="1"/>
    <s v="C"/>
    <x v="46"/>
    <n v="26333"/>
    <n v="387066524"/>
    <n v="154170529"/>
    <n v="232895995"/>
    <x v="21"/>
  </r>
  <r>
    <x v="28"/>
    <x v="6"/>
    <x v="1"/>
    <s v="M"/>
    <x v="47"/>
    <n v="5667"/>
    <n v="2231229"/>
    <n v="684138"/>
    <n v="1547091"/>
    <x v="7"/>
  </r>
  <r>
    <x v="41"/>
    <x v="7"/>
    <x v="0"/>
    <s v="C"/>
    <x v="48"/>
    <n v="3584"/>
    <n v="85697376"/>
    <n v="57591648"/>
    <n v="28105728"/>
    <x v="9"/>
  </r>
  <r>
    <x v="42"/>
    <x v="2"/>
    <x v="0"/>
    <s v="C"/>
    <x v="49"/>
    <n v="52496"/>
    <n v="82443186"/>
    <n v="1598325"/>
    <n v="80844861"/>
    <x v="4"/>
  </r>
  <r>
    <x v="43"/>
    <x v="7"/>
    <x v="1"/>
    <s v="C"/>
    <x v="50"/>
    <n v="3584"/>
    <n v="24795632"/>
    <n v="16663536"/>
    <n v="8132096"/>
    <x v="9"/>
  </r>
  <r>
    <x v="44"/>
    <x v="3"/>
    <x v="1"/>
    <s v="L"/>
    <x v="51"/>
    <n v="692"/>
    <n v="8962398"/>
    <n v="2315046"/>
    <n v="6647352"/>
    <x v="3"/>
  </r>
  <r>
    <x v="45"/>
    <x v="1"/>
    <x v="1"/>
    <s v="M"/>
    <x v="52"/>
    <n v="11711"/>
    <n v="80357591"/>
    <n v="35994117"/>
    <n v="44363474"/>
    <x v="22"/>
  </r>
  <r>
    <x v="46"/>
    <x v="2"/>
    <x v="0"/>
    <s v="M"/>
    <x v="53"/>
    <n v="52496"/>
    <n v="225123297"/>
    <n v="43644625"/>
    <n v="181478672"/>
    <x v="2"/>
  </r>
  <r>
    <x v="3"/>
    <x v="3"/>
    <x v="0"/>
    <s v="H"/>
    <x v="54"/>
    <n v="692"/>
    <n v="7125321"/>
    <n v="1840517"/>
    <n v="5284804"/>
    <x v="3"/>
  </r>
  <r>
    <x v="47"/>
    <x v="7"/>
    <x v="1"/>
    <s v="C"/>
    <x v="55"/>
    <n v="3584"/>
    <n v="38051296"/>
    <n v="25571808"/>
    <n v="12479488"/>
    <x v="9"/>
  </r>
  <r>
    <x v="48"/>
    <x v="7"/>
    <x v="0"/>
    <s v="C"/>
    <x v="56"/>
    <n v="3584"/>
    <n v="10824184"/>
    <n v="7274232"/>
    <n v="3549952"/>
    <x v="9"/>
  </r>
  <r>
    <x v="49"/>
    <x v="8"/>
    <x v="0"/>
    <s v="H"/>
    <x v="57"/>
    <n v="26333"/>
    <n v="124047084"/>
    <n v="49500789"/>
    <n v="74546295"/>
    <x v="23"/>
  </r>
  <r>
    <x v="50"/>
    <x v="4"/>
    <x v="1"/>
    <s v="L"/>
    <x v="58"/>
    <n v="50254"/>
    <n v="18845214"/>
    <n v="4673586"/>
    <n v="14171628"/>
    <x v="5"/>
  </r>
  <r>
    <x v="32"/>
    <x v="8"/>
    <x v="0"/>
    <s v="H"/>
    <x v="59"/>
    <n v="26333"/>
    <n v="310054398"/>
    <n v="125447205"/>
    <n v="184607193"/>
    <x v="24"/>
  </r>
  <r>
    <x v="30"/>
    <x v="1"/>
    <x v="0"/>
    <s v="H"/>
    <x v="60"/>
    <n v="11711"/>
    <n v="10402874"/>
    <n v="6041838"/>
    <n v="4361036"/>
    <x v="25"/>
  </r>
  <r>
    <x v="51"/>
    <x v="0"/>
    <x v="1"/>
    <s v="L"/>
    <x v="61"/>
    <n v="15942"/>
    <n v="1212580"/>
    <n v="455335"/>
    <n v="757245"/>
    <x v="0"/>
  </r>
  <r>
    <x v="17"/>
    <x v="2"/>
    <x v="1"/>
    <s v="M"/>
    <x v="62"/>
    <n v="52496"/>
    <n v="359337678"/>
    <n v="6966475"/>
    <n v="352371203"/>
    <x v="4"/>
  </r>
  <r>
    <x v="52"/>
    <x v="7"/>
    <x v="0"/>
    <s v="H"/>
    <x v="63"/>
    <n v="3584"/>
    <n v="66835648"/>
    <n v="44915904"/>
    <n v="21919744"/>
    <x v="9"/>
  </r>
  <r>
    <x v="53"/>
    <x v="8"/>
    <x v="0"/>
    <s v="H"/>
    <x v="64"/>
    <n v="26333"/>
    <n v="70454726"/>
    <n v="29644835"/>
    <n v="40809891"/>
    <x v="26"/>
  </r>
  <r>
    <x v="4"/>
    <x v="8"/>
    <x v="0"/>
    <s v="H"/>
    <x v="65"/>
    <n v="26333"/>
    <n v="100573444"/>
    <n v="77841599"/>
    <n v="22731845"/>
    <x v="27"/>
  </r>
  <r>
    <x v="54"/>
    <x v="6"/>
    <x v="0"/>
    <s v="L"/>
    <x v="66"/>
    <n v="5667"/>
    <n v="70745488"/>
    <n v="21691936"/>
    <n v="49053552"/>
    <x v="7"/>
  </r>
  <r>
    <x v="55"/>
    <x v="7"/>
    <x v="0"/>
    <s v="M"/>
    <x v="67"/>
    <n v="3584"/>
    <n v="60082144"/>
    <n v="40377312"/>
    <n v="19704832"/>
    <x v="9"/>
  </r>
  <r>
    <x v="56"/>
    <x v="2"/>
    <x v="0"/>
    <s v="H"/>
    <x v="63"/>
    <n v="52496"/>
    <n v="539657727"/>
    <n v="104623375"/>
    <n v="435034352"/>
    <x v="2"/>
  </r>
  <r>
    <x v="57"/>
    <x v="7"/>
    <x v="0"/>
    <s v="L"/>
    <x v="68"/>
    <n v="3584"/>
    <n v="80233376"/>
    <n v="53919648"/>
    <n v="26313728"/>
    <x v="9"/>
  </r>
  <r>
    <x v="18"/>
    <x v="2"/>
    <x v="1"/>
    <s v="M"/>
    <x v="69"/>
    <n v="52496"/>
    <n v="32625621"/>
    <n v="6325125"/>
    <n v="26300496"/>
    <x v="2"/>
  </r>
  <r>
    <x v="52"/>
    <x v="3"/>
    <x v="1"/>
    <s v="L"/>
    <x v="70"/>
    <n v="692"/>
    <n v="627909"/>
    <n v="162193"/>
    <n v="465716"/>
    <x v="3"/>
  </r>
  <r>
    <x v="58"/>
    <x v="9"/>
    <x v="1"/>
    <s v="C"/>
    <x v="71"/>
    <n v="3179"/>
    <n v="27241045"/>
    <n v="8990406"/>
    <n v="18250639"/>
    <x v="11"/>
  </r>
  <r>
    <x v="32"/>
    <x v="1"/>
    <x v="1"/>
    <s v="H"/>
    <x v="72"/>
    <n v="11711"/>
    <n v="170805392"/>
    <n v="76683504"/>
    <n v="94121888"/>
    <x v="28"/>
  </r>
  <r>
    <x v="59"/>
    <x v="8"/>
    <x v="0"/>
    <s v="L"/>
    <x v="73"/>
    <n v="26333"/>
    <n v="430247824"/>
    <n v="171992204"/>
    <n v="258255620"/>
    <x v="29"/>
  </r>
  <r>
    <x v="60"/>
    <x v="4"/>
    <x v="0"/>
    <s v="C"/>
    <x v="74"/>
    <n v="50254"/>
    <n v="464714958"/>
    <n v="115248642"/>
    <n v="349466316"/>
    <x v="5"/>
  </r>
  <r>
    <x v="61"/>
    <x v="9"/>
    <x v="1"/>
    <s v="C"/>
    <x v="75"/>
    <n v="3179"/>
    <n v="44503355"/>
    <n v="14687514"/>
    <n v="29815841"/>
    <x v="11"/>
  </r>
  <r>
    <x v="62"/>
    <x v="5"/>
    <x v="0"/>
    <s v="C"/>
    <x v="76"/>
    <n v="9093"/>
    <n v="57495192"/>
    <n v="23560116"/>
    <n v="33935076"/>
    <x v="6"/>
  </r>
  <r>
    <x v="63"/>
    <x v="0"/>
    <x v="0"/>
    <s v="H"/>
    <x v="77"/>
    <n v="15942"/>
    <n v="219898192"/>
    <n v="82573804"/>
    <n v="137324388"/>
    <x v="0"/>
  </r>
  <r>
    <x v="64"/>
    <x v="8"/>
    <x v="1"/>
    <s v="H"/>
    <x v="78"/>
    <n v="26333"/>
    <n v="420207288"/>
    <n v="167854098"/>
    <n v="252353190"/>
    <x v="30"/>
  </r>
  <r>
    <x v="65"/>
    <x v="4"/>
    <x v="0"/>
    <s v="L"/>
    <x v="79"/>
    <n v="50254"/>
    <n v="301590251"/>
    <n v="74793949"/>
    <n v="226796302"/>
    <x v="5"/>
  </r>
  <r>
    <x v="66"/>
    <x v="7"/>
    <x v="1"/>
    <s v="L"/>
    <x v="80"/>
    <n v="3584"/>
    <n v="86156352"/>
    <n v="57900096"/>
    <n v="28256256"/>
    <x v="9"/>
  </r>
  <r>
    <x v="67"/>
    <x v="8"/>
    <x v="1"/>
    <s v="H"/>
    <x v="81"/>
    <n v="26333"/>
    <n v="280369908"/>
    <n v="112824243"/>
    <n v="167545665"/>
    <x v="31"/>
  </r>
  <r>
    <x v="68"/>
    <x v="11"/>
    <x v="1"/>
    <s v="L"/>
    <x v="82"/>
    <n v="9744"/>
    <n v="6232893"/>
    <n v="2252469"/>
    <n v="3980424"/>
    <x v="13"/>
  </r>
  <r>
    <x v="69"/>
    <x v="5"/>
    <x v="1"/>
    <s v="L"/>
    <x v="83"/>
    <n v="9093"/>
    <n v="99476542"/>
    <n v="40763041"/>
    <n v="58713501"/>
    <x v="6"/>
  </r>
  <r>
    <x v="60"/>
    <x v="6"/>
    <x v="0"/>
    <s v="L"/>
    <x v="84"/>
    <n v="5667"/>
    <n v="52487006"/>
    <n v="16093532"/>
    <n v="36393474"/>
    <x v="7"/>
  </r>
  <r>
    <x v="3"/>
    <x v="9"/>
    <x v="0"/>
    <s v="C"/>
    <x v="85"/>
    <n v="3179"/>
    <n v="41893605"/>
    <n v="13826214"/>
    <n v="28067391"/>
    <x v="11"/>
  </r>
  <r>
    <x v="27"/>
    <x v="0"/>
    <x v="0"/>
    <s v="M"/>
    <x v="86"/>
    <n v="15942"/>
    <n v="141910152"/>
    <n v="53288574"/>
    <n v="88621578"/>
    <x v="0"/>
  </r>
  <r>
    <x v="70"/>
    <x v="3"/>
    <x v="1"/>
    <s v="M"/>
    <x v="87"/>
    <n v="692"/>
    <n v="487026"/>
    <n v="125802"/>
    <n v="361224"/>
    <x v="3"/>
  </r>
  <r>
    <x v="71"/>
    <x v="9"/>
    <x v="0"/>
    <s v="C"/>
    <x v="88"/>
    <n v="3179"/>
    <n v="2201117"/>
    <n v="729756"/>
    <n v="1471361"/>
    <x v="32"/>
  </r>
  <r>
    <x v="46"/>
    <x v="2"/>
    <x v="0"/>
    <s v="H"/>
    <x v="89"/>
    <n v="52496"/>
    <n v="61734708"/>
    <n v="119685"/>
    <n v="61615023"/>
    <x v="17"/>
  </r>
  <r>
    <x v="30"/>
    <x v="9"/>
    <x v="0"/>
    <s v="H"/>
    <x v="90"/>
    <n v="3179"/>
    <n v="44550805"/>
    <n v="14703174"/>
    <n v="29847631"/>
    <x v="11"/>
  </r>
  <r>
    <x v="37"/>
    <x v="2"/>
    <x v="1"/>
    <s v="M"/>
    <x v="91"/>
    <n v="52496"/>
    <n v="131609541"/>
    <n v="25515125"/>
    <n v="106094416"/>
    <x v="2"/>
  </r>
  <r>
    <x v="72"/>
    <x v="8"/>
    <x v="1"/>
    <s v="H"/>
    <x v="92"/>
    <n v="26333"/>
    <n v="34958252"/>
    <n v="13753117"/>
    <n v="21205135"/>
    <x v="33"/>
  </r>
  <r>
    <x v="73"/>
    <x v="9"/>
    <x v="0"/>
    <s v="C"/>
    <x v="93"/>
    <n v="3179"/>
    <n v="38970022"/>
    <n v="12772296"/>
    <n v="26197726"/>
    <x v="34"/>
  </r>
  <r>
    <x v="26"/>
    <x v="7"/>
    <x v="1"/>
    <s v="M"/>
    <x v="94"/>
    <n v="3584"/>
    <n v="9704064"/>
    <n v="6521472"/>
    <n v="3182592"/>
    <x v="9"/>
  </r>
  <r>
    <x v="74"/>
    <x v="3"/>
    <x v="0"/>
    <s v="L"/>
    <x v="95"/>
    <n v="692"/>
    <n v="5847111"/>
    <n v="1510347"/>
    <n v="4336764"/>
    <x v="3"/>
  </r>
  <r>
    <x v="46"/>
    <x v="5"/>
    <x v="0"/>
    <s v="C"/>
    <x v="96"/>
    <n v="9093"/>
    <n v="22987791"/>
    <n v="9374805"/>
    <n v="13612986"/>
    <x v="35"/>
  </r>
  <r>
    <x v="60"/>
    <x v="6"/>
    <x v="0"/>
    <s v="M"/>
    <x v="97"/>
    <n v="5667"/>
    <n v="47133691"/>
    <n v="14452102"/>
    <n v="32681589"/>
    <x v="7"/>
  </r>
  <r>
    <x v="75"/>
    <x v="4"/>
    <x v="0"/>
    <s v="L"/>
    <x v="98"/>
    <n v="50254"/>
    <n v="358660509"/>
    <n v="88947291"/>
    <n v="269713218"/>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58B7D-2ADC-404E-821A-329550BB97F7}"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9:C84" firstHeaderRow="0" firstDataRow="1" firstDataCol="1"/>
  <pivotFields count="12">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4">
        <item x="0"/>
        <item x="9"/>
        <item x="1"/>
        <item x="7"/>
        <item x="8"/>
        <item x="3"/>
        <item x="4"/>
        <item x="10"/>
        <item x="2"/>
        <item x="6"/>
        <item x="11"/>
        <item x="5"/>
        <item m="1" x="12"/>
        <item t="default"/>
      </items>
    </pivotField>
    <pivotField showAll="0">
      <items count="3">
        <item x="0"/>
        <item x="1"/>
        <item t="default"/>
      </items>
    </pivotField>
    <pivotField showAll="0"/>
    <pivotField axis="axisRow" showAll="0">
      <items count="15">
        <item x="0"/>
        <item x="1"/>
        <item x="2"/>
        <item x="3"/>
        <item x="4"/>
        <item x="5"/>
        <item x="6"/>
        <item x="7"/>
        <item x="8"/>
        <item x="9"/>
        <item x="10"/>
        <item x="11"/>
        <item x="12"/>
        <item x="13"/>
        <item t="default"/>
      </items>
    </pivotField>
    <pivotField numFmtId="164" showAll="0"/>
    <pivotField dataField="1" numFmtId="164" showAll="0"/>
    <pivotField dataField="1" numFmtId="164" showAll="0"/>
    <pivotField numFmtId="164" showAll="0"/>
    <pivotField showAll="0"/>
    <pivotField showAll="0">
      <items count="7">
        <item sd="0" x="0"/>
        <item sd="0" x="1"/>
        <item sd="0" x="2"/>
        <item sd="0" x="3"/>
        <item sd="0" x="4"/>
        <item sd="0" x="5"/>
        <item t="default"/>
      </items>
    </pivotField>
    <pivotField axis="axisRow" showAll="0">
      <items count="11">
        <item sd="0" x="0"/>
        <item x="1"/>
        <item x="2"/>
        <item x="3"/>
        <item x="4"/>
        <item x="5"/>
        <item x="6"/>
        <item x="7"/>
        <item x="8"/>
        <item sd="0" x="9"/>
        <item t="default"/>
      </items>
    </pivotField>
  </pivotFields>
  <rowFields count="2">
    <field x="11"/>
    <field x="4"/>
  </rowFields>
  <rowItems count="75">
    <i>
      <x v="1"/>
    </i>
    <i r="1">
      <x v="1"/>
    </i>
    <i r="1">
      <x v="2"/>
    </i>
    <i r="1">
      <x v="3"/>
    </i>
    <i r="1">
      <x v="6"/>
    </i>
    <i r="1">
      <x v="10"/>
    </i>
    <i r="1">
      <x v="11"/>
    </i>
    <i r="1">
      <x v="12"/>
    </i>
    <i>
      <x v="2"/>
    </i>
    <i r="1">
      <x v="1"/>
    </i>
    <i r="1">
      <x v="3"/>
    </i>
    <i r="1">
      <x v="4"/>
    </i>
    <i r="1">
      <x v="5"/>
    </i>
    <i r="1">
      <x v="7"/>
    </i>
    <i r="1">
      <x v="10"/>
    </i>
    <i r="1">
      <x v="11"/>
    </i>
    <i r="1">
      <x v="12"/>
    </i>
    <i>
      <x v="3"/>
    </i>
    <i r="1">
      <x v="1"/>
    </i>
    <i r="1">
      <x v="2"/>
    </i>
    <i r="1">
      <x v="3"/>
    </i>
    <i r="1">
      <x v="5"/>
    </i>
    <i r="1">
      <x v="6"/>
    </i>
    <i r="1">
      <x v="7"/>
    </i>
    <i r="1">
      <x v="8"/>
    </i>
    <i r="1">
      <x v="9"/>
    </i>
    <i r="1">
      <x v="10"/>
    </i>
    <i r="1">
      <x v="11"/>
    </i>
    <i>
      <x v="4"/>
    </i>
    <i r="1">
      <x v="1"/>
    </i>
    <i r="1">
      <x v="2"/>
    </i>
    <i r="1">
      <x v="3"/>
    </i>
    <i r="1">
      <x v="5"/>
    </i>
    <i r="1">
      <x v="6"/>
    </i>
    <i r="1">
      <x v="7"/>
    </i>
    <i r="1">
      <x v="8"/>
    </i>
    <i r="1">
      <x v="9"/>
    </i>
    <i r="1">
      <x v="10"/>
    </i>
    <i r="1">
      <x v="11"/>
    </i>
    <i>
      <x v="5"/>
    </i>
    <i r="1">
      <x v="1"/>
    </i>
    <i r="1">
      <x v="2"/>
    </i>
    <i r="1">
      <x v="3"/>
    </i>
    <i r="1">
      <x v="4"/>
    </i>
    <i r="1">
      <x v="5"/>
    </i>
    <i r="1">
      <x v="6"/>
    </i>
    <i r="1">
      <x v="7"/>
    </i>
    <i r="1">
      <x v="8"/>
    </i>
    <i r="1">
      <x v="10"/>
    </i>
    <i r="1">
      <x v="11"/>
    </i>
    <i r="1">
      <x v="12"/>
    </i>
    <i>
      <x v="6"/>
    </i>
    <i r="1">
      <x v="1"/>
    </i>
    <i r="1">
      <x v="2"/>
    </i>
    <i r="1">
      <x v="3"/>
    </i>
    <i r="1">
      <x v="4"/>
    </i>
    <i r="1">
      <x v="5"/>
    </i>
    <i r="1">
      <x v="8"/>
    </i>
    <i r="1">
      <x v="9"/>
    </i>
    <i r="1">
      <x v="11"/>
    </i>
    <i>
      <x v="7"/>
    </i>
    <i r="1">
      <x v="4"/>
    </i>
    <i r="1">
      <x v="6"/>
    </i>
    <i r="1">
      <x v="7"/>
    </i>
    <i r="1">
      <x v="8"/>
    </i>
    <i r="1">
      <x v="10"/>
    </i>
    <i r="1">
      <x v="11"/>
    </i>
    <i r="1">
      <x v="12"/>
    </i>
    <i>
      <x v="8"/>
    </i>
    <i r="1">
      <x v="1"/>
    </i>
    <i r="1">
      <x v="2"/>
    </i>
    <i r="1">
      <x v="3"/>
    </i>
    <i r="1">
      <x v="5"/>
    </i>
    <i r="1">
      <x v="6"/>
    </i>
    <i t="grand">
      <x/>
    </i>
  </rowItems>
  <colFields count="1">
    <field x="-2"/>
  </colFields>
  <colItems count="2">
    <i>
      <x/>
    </i>
    <i i="1">
      <x v="1"/>
    </i>
  </colItems>
  <dataFields count="2">
    <dataField name="Sum of Total Profit" fld="7" baseField="0" baseItem="0"/>
    <dataField name="Sum of Total Revenue"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8640C-7236-4DC5-B2AF-3006A6ED05A8}"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A9:B22" firstHeaderRow="1" firstDataRow="1" firstDataCol="1"/>
  <pivotFields count="12">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axis="axisRow" showAll="0" sortType="descending">
      <items count="14">
        <item x="0"/>
        <item x="9"/>
        <item x="1"/>
        <item x="7"/>
        <item x="8"/>
        <item x="3"/>
        <item x="4"/>
        <item x="10"/>
        <item x="2"/>
        <item x="6"/>
        <item x="11"/>
        <item x="5"/>
        <item m="1" x="1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items count="37">
        <item x="17"/>
        <item x="12"/>
        <item x="4"/>
        <item x="16"/>
        <item x="2"/>
        <item x="5"/>
        <item x="3"/>
        <item x="7"/>
        <item x="34"/>
        <item x="11"/>
        <item x="32"/>
        <item x="13"/>
        <item x="0"/>
        <item x="33"/>
        <item x="14"/>
        <item x="18"/>
        <item x="21"/>
        <item x="10"/>
        <item x="23"/>
        <item x="30"/>
        <item x="29"/>
        <item x="31"/>
        <item x="24"/>
        <item x="15"/>
        <item x="35"/>
        <item x="6"/>
        <item x="26"/>
        <item x="1"/>
        <item x="20"/>
        <item x="8"/>
        <item x="19"/>
        <item x="22"/>
        <item x="28"/>
        <item x="25"/>
        <item x="9"/>
        <item x="27"/>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13">
    <i>
      <x v="3"/>
    </i>
    <i>
      <x v="2"/>
    </i>
    <i>
      <x v="4"/>
    </i>
    <i>
      <x v="11"/>
    </i>
    <i>
      <x/>
    </i>
    <i>
      <x v="10"/>
    </i>
    <i>
      <x v="1"/>
    </i>
    <i>
      <x v="5"/>
    </i>
    <i>
      <x v="9"/>
    </i>
    <i>
      <x v="6"/>
    </i>
    <i>
      <x v="8"/>
    </i>
    <i>
      <x v="7"/>
    </i>
    <i t="grand">
      <x/>
    </i>
  </rowItems>
  <colItems count="1">
    <i/>
  </colItems>
  <dataFields count="1">
    <dataField name="Average of Profit Margin" fld="9" subtotal="average" baseField="1" baseItem="7"/>
  </dataFields>
  <formats count="1">
    <format dxfId="6">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E893AD-04DC-4182-A7DD-B616DD6DC87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A3:C26" firstHeaderRow="0" firstDataRow="1" firstDataCol="1"/>
  <pivotFields count="12">
    <pivotField axis="axisRow" showAll="0" measureFilter="1" sortType="descending">
      <items count="77">
        <item x="68"/>
        <item x="50"/>
        <item x="0"/>
        <item x="18"/>
        <item x="27"/>
        <item x="34"/>
        <item x="28"/>
        <item x="16"/>
        <item x="65"/>
        <item x="29"/>
        <item x="5"/>
        <item x="71"/>
        <item x="38"/>
        <item x="46"/>
        <item x="9"/>
        <item x="45"/>
        <item x="3"/>
        <item x="51"/>
        <item x="64"/>
        <item x="4"/>
        <item x="2"/>
        <item x="72"/>
        <item x="8"/>
        <item x="21"/>
        <item x="59"/>
        <item x="20"/>
        <item x="36"/>
        <item x="73"/>
        <item x="22"/>
        <item x="31"/>
        <item x="75"/>
        <item x="14"/>
        <item x="63"/>
        <item x="23"/>
        <item x="60"/>
        <item x="42"/>
        <item x="26"/>
        <item x="74"/>
        <item x="57"/>
        <item x="41"/>
        <item x="56"/>
        <item x="52"/>
        <item x="44"/>
        <item x="66"/>
        <item x="62"/>
        <item x="10"/>
        <item x="70"/>
        <item x="25"/>
        <item x="69"/>
        <item x="67"/>
        <item x="40"/>
        <item x="13"/>
        <item x="53"/>
        <item x="1"/>
        <item x="54"/>
        <item x="24"/>
        <item x="48"/>
        <item x="61"/>
        <item x="19"/>
        <item x="32"/>
        <item x="58"/>
        <item x="47"/>
        <item x="33"/>
        <item x="39"/>
        <item x="11"/>
        <item x="17"/>
        <item x="7"/>
        <item x="15"/>
        <item x="35"/>
        <item x="55"/>
        <item x="12"/>
        <item x="37"/>
        <item x="49"/>
        <item x="30"/>
        <item x="6"/>
        <item x="43"/>
        <item t="default"/>
      </items>
      <autoSortScope>
        <pivotArea dataOnly="0" outline="0" fieldPosition="0">
          <references count="1">
            <reference field="4294967294" count="1" selected="0">
              <x v="0"/>
            </reference>
          </references>
        </pivotArea>
      </autoSortScope>
    </pivotField>
    <pivotField axis="axisRow" showAll="0">
      <items count="14">
        <item x="0"/>
        <item x="9"/>
        <item x="1"/>
        <item x="7"/>
        <item x="8"/>
        <item x="3"/>
        <item x="4"/>
        <item x="10"/>
        <item x="2"/>
        <item x="6"/>
        <item x="11"/>
        <item x="5"/>
        <item m="1" x="1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numFmtId="164" showAll="0"/>
    <pivotField numFmtId="164" showAll="0"/>
    <pivotField dataField="1" numFmtId="164" showAll="0"/>
    <pivotField numFmtId="164"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2">
    <field x="0"/>
    <field x="1"/>
  </rowFields>
  <rowItems count="23">
    <i>
      <x v="59"/>
    </i>
    <i r="1">
      <x v="2"/>
    </i>
    <i r="1">
      <x v="4"/>
    </i>
    <i r="1">
      <x v="10"/>
    </i>
    <i>
      <x v="24"/>
    </i>
    <i r="1">
      <x v="4"/>
    </i>
    <i>
      <x v="18"/>
    </i>
    <i r="1">
      <x v="4"/>
    </i>
    <i>
      <x v="50"/>
    </i>
    <i r="1">
      <x v="4"/>
    </i>
    <i>
      <x v="71"/>
    </i>
    <i r="1">
      <x v="4"/>
    </i>
    <i r="1">
      <x v="8"/>
    </i>
    <i>
      <x v="6"/>
    </i>
    <i r="1">
      <x v="4"/>
    </i>
    <i r="1">
      <x v="9"/>
    </i>
    <i>
      <x v="51"/>
    </i>
    <i r="1">
      <x v="6"/>
    </i>
    <i r="1">
      <x v="10"/>
    </i>
    <i>
      <x v="34"/>
    </i>
    <i r="1">
      <x v="6"/>
    </i>
    <i r="1">
      <x v="9"/>
    </i>
    <i t="grand">
      <x/>
    </i>
  </rowItems>
  <colFields count="1">
    <field x="-2"/>
  </colFields>
  <colItems count="2">
    <i>
      <x/>
    </i>
    <i i="1">
      <x v="1"/>
    </i>
  </colItems>
  <dataFields count="2">
    <dataField name="Sum of Total Profit" fld="7" baseField="0" baseItem="0"/>
    <dataField name="Average of Total Profit" fld="7" subtotal="average"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4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8289B2-8C6B-472B-BA2D-CE968634D9F0}"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A3:D17" firstHeaderRow="1" firstDataRow="2" firstDataCol="1"/>
  <pivotFields count="12">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axis="axisRow" showAll="0">
      <items count="14">
        <item x="0"/>
        <item x="9"/>
        <item x="1"/>
        <item x="7"/>
        <item x="8"/>
        <item x="3"/>
        <item x="4"/>
        <item x="10"/>
        <item x="2"/>
        <item x="6"/>
        <item x="11"/>
        <item x="5"/>
        <item m="1" x="12"/>
        <item t="default"/>
      </items>
    </pivotField>
    <pivotField axis="axisCol"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numFmtId="164" showAll="0"/>
    <pivotField numFmtId="164" showAll="0"/>
    <pivotField numFmtId="164" showAll="0"/>
    <pivotField numFmtId="164" showAll="0"/>
    <pivotField dataField="1"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13">
    <i>
      <x/>
    </i>
    <i>
      <x v="1"/>
    </i>
    <i>
      <x v="2"/>
    </i>
    <i>
      <x v="3"/>
    </i>
    <i>
      <x v="4"/>
    </i>
    <i>
      <x v="5"/>
    </i>
    <i>
      <x v="6"/>
    </i>
    <i>
      <x v="7"/>
    </i>
    <i>
      <x v="8"/>
    </i>
    <i>
      <x v="9"/>
    </i>
    <i>
      <x v="10"/>
    </i>
    <i>
      <x v="11"/>
    </i>
    <i t="grand">
      <x/>
    </i>
  </rowItems>
  <colFields count="1">
    <field x="2"/>
  </colFields>
  <colItems count="3">
    <i>
      <x v="1"/>
    </i>
    <i>
      <x/>
    </i>
    <i t="grand">
      <x/>
    </i>
  </colItems>
  <dataFields count="1">
    <dataField name="Average of Profit Margin" fld="9" subtotal="average" baseField="2" baseItem="0" numFmtId="165"/>
  </dataFields>
  <chartFormats count="6">
    <chartFormat chart="5" format="0" series="1">
      <pivotArea type="data" outline="0" fieldPosition="0">
        <references count="2">
          <reference field="4294967294" count="1" selected="0">
            <x v="0"/>
          </reference>
          <reference field="2" count="1" selected="0">
            <x v="1"/>
          </reference>
        </references>
      </pivotArea>
    </chartFormat>
    <chartFormat chart="5" format="1" series="1">
      <pivotArea type="data" outline="0" fieldPosition="0">
        <references count="2">
          <reference field="4294967294" count="1" selected="0">
            <x v="0"/>
          </reference>
          <reference field="2" count="1" selected="0">
            <x v="0"/>
          </reference>
        </references>
      </pivotArea>
    </chartFormat>
    <chartFormat chart="5" format="2" series="1">
      <pivotArea type="data" outline="0" fieldPosition="0">
        <references count="1">
          <reference field="4294967294" count="1" selected="0">
            <x v="0"/>
          </reference>
        </references>
      </pivotArea>
    </chartFormat>
    <chartFormat chart="11" format="8" series="1">
      <pivotArea type="data" outline="0" fieldPosition="0">
        <references count="2">
          <reference field="4294967294" count="1" selected="0">
            <x v="0"/>
          </reference>
          <reference field="2"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4C6C8CB-77A7-4E4D-843B-3A6E0B497567}" sourceName="Sales Channel">
  <pivotTables>
    <pivotTable tabId="7" name="PivotTable3"/>
    <pivotTable tabId="8" name="PivotTable4"/>
    <pivotTable tabId="5" name="PivotTable1"/>
    <pivotTable tabId="6" name="PivotTable2"/>
  </pivotTables>
  <data>
    <tabular pivotCacheId="386506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BCE1A5A-547D-4B2E-B141-FBAB9827EFFC}" sourceName="Item Type">
  <pivotTables>
    <pivotTable tabId="5" name="PivotTable1"/>
    <pivotTable tabId="7" name="PivotTable3"/>
    <pivotTable tabId="8" name="PivotTable4"/>
    <pivotTable tabId="6" name="PivotTable2"/>
  </pivotTables>
  <data>
    <tabular pivotCacheId="38650617">
      <items count="13">
        <i x="0" s="1"/>
        <i x="9" s="1"/>
        <i x="1" s="1"/>
        <i x="7" s="1"/>
        <i x="8" s="1"/>
        <i x="3" s="1"/>
        <i x="4" s="1"/>
        <i x="10" s="1"/>
        <i x="2" s="1"/>
        <i x="6" s="1"/>
        <i x="11" s="1"/>
        <i x="5"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ABE5910-3354-4010-8729-2AD865014F6E}" sourceName="Country">
  <pivotTables>
    <pivotTable tabId="6" name="PivotTable2"/>
    <pivotTable tabId="7" name="PivotTable3"/>
    <pivotTable tabId="8" name="PivotTable4"/>
    <pivotTable tabId="5" name="PivotTable1"/>
  </pivotTables>
  <data>
    <tabular pivotCacheId="38650617">
      <items count="76">
        <i x="43" s="1"/>
        <i x="6" s="1"/>
        <i x="30" s="1"/>
        <i x="49" s="1"/>
        <i x="37" s="1"/>
        <i x="12" s="1"/>
        <i x="55" s="1"/>
        <i x="35" s="1"/>
        <i x="15" s="1"/>
        <i x="7" s="1"/>
        <i x="17" s="1"/>
        <i x="11" s="1"/>
        <i x="39" s="1"/>
        <i x="33" s="1"/>
        <i x="47" s="1"/>
        <i x="58" s="1"/>
        <i x="32" s="1"/>
        <i x="19" s="1"/>
        <i x="61" s="1"/>
        <i x="48" s="1"/>
        <i x="24" s="1"/>
        <i x="54" s="1"/>
        <i x="1" s="1"/>
        <i x="53" s="1"/>
        <i x="13" s="1"/>
        <i x="40" s="1"/>
        <i x="67" s="1"/>
        <i x="69" s="1"/>
        <i x="25" s="1"/>
        <i x="70" s="1"/>
        <i x="10" s="1"/>
        <i x="62" s="1"/>
        <i x="66" s="1"/>
        <i x="44" s="1"/>
        <i x="52" s="1"/>
        <i x="56" s="1"/>
        <i x="41" s="1"/>
        <i x="57" s="1"/>
        <i x="74" s="1"/>
        <i x="26" s="1"/>
        <i x="42" s="1"/>
        <i x="60" s="1"/>
        <i x="23" s="1"/>
        <i x="63" s="1"/>
        <i x="14" s="1"/>
        <i x="75" s="1"/>
        <i x="31" s="1"/>
        <i x="22" s="1"/>
        <i x="73" s="1"/>
        <i x="36" s="1"/>
        <i x="20" s="1"/>
        <i x="59" s="1"/>
        <i x="21" s="1"/>
        <i x="8" s="1"/>
        <i x="72" s="1"/>
        <i x="2" s="1"/>
        <i x="4" s="1"/>
        <i x="64" s="1"/>
        <i x="51" s="1"/>
        <i x="3" s="1"/>
        <i x="45" s="1"/>
        <i x="9" s="1"/>
        <i x="46" s="1"/>
        <i x="38" s="1"/>
        <i x="71" s="1"/>
        <i x="5" s="1"/>
        <i x="29" s="1"/>
        <i x="65" s="1"/>
        <i x="16" s="1"/>
        <i x="28" s="1"/>
        <i x="34" s="1"/>
        <i x="27" s="1"/>
        <i x="18" s="1"/>
        <i x="0" s="1"/>
        <i x="50" s="1"/>
        <i x="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3D317FFE-1D41-458C-A220-08EECDA8F177}" cache="Slicer_Item_Type" caption="Item Typ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8A35731-46D5-4C0C-9EB3-FE08E22A6BCE}" cache="Slicer_Country" caption="Country" startItem="1"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65A7F67C-ED54-4F14-B4C8-4FE2BB1B603D}" cache="Slicer_Sales_Channel" caption="Sales Channel"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xr10:uid="{0F6C9909-CC19-4875-83A5-D2AF8DD8FC69}" cache="Slicer_Sales_Channel" caption="Sales Channel" rowHeight="241300"/>
  <slicer name="Item Type 2" xr10:uid="{B7F31DF6-5164-4B71-8ACC-69C697DC5DD5}" cache="Slicer_Item_Type" caption="Item Type" rowHeight="241300"/>
  <slicer name="Country 2" xr10:uid="{76BA07C1-3CBB-4A5D-B419-CD1FB98A53E7}" cache="Slicer_Country" caption="Country" startItem="1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alesSummary" displayName="SalesSummary" ref="A1:J102" totalsRowCount="1" headerRowDxfId="17">
  <autoFilter ref="A1:J101" xr:uid="{00000000-0009-0000-0100-000003000000}"/>
  <tableColumns count="10">
    <tableColumn id="1" xr3:uid="{00000000-0010-0000-0100-000001000000}" name="Country" dataDxfId="16"/>
    <tableColumn id="2" xr3:uid="{00000000-0010-0000-0100-000002000000}" name="Item Type" dataDxfId="15"/>
    <tableColumn id="3" xr3:uid="{00000000-0010-0000-0100-000003000000}" name="Sales Channel" dataDxfId="14"/>
    <tableColumn id="4" xr3:uid="{00000000-0010-0000-0100-000004000000}" name="Order Priority" dataDxfId="13"/>
    <tableColumn id="5" xr3:uid="{00000000-0010-0000-0100-000005000000}" name="Ship Date" dataDxfId="12" totalsRowDxfId="5"/>
    <tableColumn id="6" xr3:uid="{00000000-0010-0000-0100-000006000000}" name="Unit Cost" dataDxfId="11" totalsRowDxfId="4"/>
    <tableColumn id="7" xr3:uid="{00000000-0010-0000-0100-000007000000}" name="Total Revenue" dataDxfId="10" totalsRowDxfId="3"/>
    <tableColumn id="8" xr3:uid="{00000000-0010-0000-0100-000008000000}" name="Total Profit" dataDxfId="9" totalsRowDxfId="2"/>
    <tableColumn id="9" xr3:uid="{00000000-0010-0000-0100-000009000000}" name="Sales Expenses" dataDxfId="8" totalsRowDxfId="1">
      <calculatedColumnFormula>SalesSummary[[#This Row],[Total Revenue]]-SalesSummary[[#This Row],[Total Profit]]</calculatedColumnFormula>
    </tableColumn>
    <tableColumn id="10" xr3:uid="{00000000-0010-0000-0100-00000A000000}" name="Profit Margin" dataDxfId="7" totalsRowDxfId="0">
      <calculatedColumnFormula>SalesSummary[[#This Row],[Total Profit]]/SalesSummary[[#This Row],[Total 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B2B85037-EF87-4FB7-BD45-E0374ADF3950}" sourceName="Ship Date">
  <pivotTables>
    <pivotTable tabId="8" name="PivotTable4"/>
    <pivotTable tabId="7" name="PivotTable3"/>
    <pivotTable tabId="5" name="PivotTable1"/>
    <pivotTable tabId="6" name="PivotTable2"/>
  </pivotTables>
  <state minimalRefreshVersion="6" lastRefreshVersion="6" pivotCacheId="38650617"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5A645A82-9F09-419F-8B69-5993646F44B1}" cache="NativeTimeline_Ship_Date" caption="Ship Date" level="0" selectionLevel="0" scrollPosition="2010-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A2250D1A-018E-4689-B399-ABEBE914595F}" cache="NativeTimeline_Ship_Date" caption="Ship Date" level="0" selectionLevel="0" scrollPosition="2012-01-01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3" xr10:uid="{D97E12FD-6528-46A5-B2FC-0BFAE693FE8B}" cache="NativeTimeline_Ship_Date" caption="Ship Date" level="2" selectionLevel="2" scrollPosition="2011-10-06T00:00:00" style="TimeSlicerStyleLight2"/>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workbookViewId="0"/>
  </sheetViews>
  <sheetFormatPr defaultRowHeight="15" x14ac:dyDescent="0.25"/>
  <cols>
    <col min="4" max="4" width="10" customWidth="1"/>
    <col min="6" max="6" width="9.28515625" bestFit="1" customWidth="1"/>
    <col min="7" max="7" width="12" bestFit="1" customWidth="1"/>
    <col min="8" max="8" width="10" bestFit="1" customWidth="1"/>
  </cols>
  <sheetData>
    <row r="1" spans="1:9" x14ac:dyDescent="0.25">
      <c r="A1" t="s">
        <v>0</v>
      </c>
      <c r="B1" t="s">
        <v>1</v>
      </c>
      <c r="C1" t="s">
        <v>2</v>
      </c>
      <c r="D1" t="s">
        <v>3</v>
      </c>
      <c r="E1" t="s">
        <v>4</v>
      </c>
      <c r="F1" t="s">
        <v>5</v>
      </c>
      <c r="G1" t="s">
        <v>6</v>
      </c>
      <c r="H1" t="s">
        <v>7</v>
      </c>
    </row>
    <row r="2" spans="1:9" x14ac:dyDescent="0.25">
      <c r="A2" t="s">
        <v>9</v>
      </c>
      <c r="B2" t="s">
        <v>10</v>
      </c>
      <c r="C2" t="s">
        <v>11</v>
      </c>
      <c r="D2" t="s">
        <v>12</v>
      </c>
      <c r="E2" s="1">
        <v>40356</v>
      </c>
      <c r="F2">
        <v>15942</v>
      </c>
      <c r="G2">
        <v>25336540</v>
      </c>
      <c r="H2">
        <v>9514105</v>
      </c>
      <c r="I2" s="2"/>
    </row>
    <row r="3" spans="1:9" x14ac:dyDescent="0.25">
      <c r="A3" t="s">
        <v>13</v>
      </c>
      <c r="B3" t="s">
        <v>14</v>
      </c>
      <c r="C3" t="s">
        <v>15</v>
      </c>
      <c r="D3" t="s">
        <v>16</v>
      </c>
      <c r="E3" s="1">
        <v>41167</v>
      </c>
      <c r="F3">
        <v>11711</v>
      </c>
      <c r="G3">
        <v>57678280</v>
      </c>
      <c r="H3">
        <v>24840636</v>
      </c>
      <c r="I3" s="2"/>
    </row>
    <row r="4" spans="1:9" x14ac:dyDescent="0.25">
      <c r="A4" t="s">
        <v>17</v>
      </c>
      <c r="B4" t="s">
        <v>18</v>
      </c>
      <c r="C4" t="s">
        <v>11</v>
      </c>
      <c r="D4" t="s">
        <v>19</v>
      </c>
      <c r="E4" s="1">
        <v>41856</v>
      </c>
      <c r="F4">
        <v>52496</v>
      </c>
      <c r="G4">
        <v>115850259</v>
      </c>
      <c r="H4">
        <v>22459875</v>
      </c>
      <c r="I4" s="2"/>
    </row>
    <row r="5" spans="1:9" x14ac:dyDescent="0.25">
      <c r="A5" t="s">
        <v>20</v>
      </c>
      <c r="B5" t="s">
        <v>21</v>
      </c>
      <c r="C5" t="s">
        <v>15</v>
      </c>
      <c r="D5" t="s">
        <v>16</v>
      </c>
      <c r="E5" s="1">
        <v>41766</v>
      </c>
      <c r="F5">
        <v>692</v>
      </c>
      <c r="G5">
        <v>7559166</v>
      </c>
      <c r="H5">
        <v>1952582</v>
      </c>
      <c r="I5" s="2"/>
    </row>
    <row r="6" spans="1:9" x14ac:dyDescent="0.25">
      <c r="A6" t="s">
        <v>22</v>
      </c>
      <c r="B6" t="s">
        <v>18</v>
      </c>
      <c r="C6" t="s">
        <v>11</v>
      </c>
      <c r="D6" t="s">
        <v>19</v>
      </c>
      <c r="E6" s="1">
        <v>41427</v>
      </c>
      <c r="F6">
        <v>52496</v>
      </c>
      <c r="G6">
        <v>329642502</v>
      </c>
      <c r="H6">
        <v>6390775</v>
      </c>
      <c r="I6" s="2"/>
    </row>
    <row r="7" spans="1:9" x14ac:dyDescent="0.25">
      <c r="A7" t="s">
        <v>23</v>
      </c>
      <c r="B7" t="s">
        <v>10</v>
      </c>
      <c r="C7" t="s">
        <v>15</v>
      </c>
      <c r="D7" t="s">
        <v>16</v>
      </c>
      <c r="E7" s="1">
        <v>42056</v>
      </c>
      <c r="F7">
        <v>15942</v>
      </c>
      <c r="G7">
        <v>75920272</v>
      </c>
      <c r="H7">
        <v>28508764</v>
      </c>
      <c r="I7" s="2"/>
    </row>
    <row r="8" spans="1:9" x14ac:dyDescent="0.25">
      <c r="A8" t="s">
        <v>24</v>
      </c>
      <c r="B8" t="s">
        <v>25</v>
      </c>
      <c r="C8" t="s">
        <v>11</v>
      </c>
      <c r="D8" t="s">
        <v>26</v>
      </c>
      <c r="E8" s="1">
        <v>40660</v>
      </c>
      <c r="F8">
        <v>50254</v>
      </c>
      <c r="G8">
        <v>279804649</v>
      </c>
      <c r="H8">
        <v>69391151</v>
      </c>
      <c r="I8" s="2"/>
    </row>
    <row r="9" spans="1:9" x14ac:dyDescent="0.25">
      <c r="A9" t="s">
        <v>27</v>
      </c>
      <c r="B9" t="s">
        <v>28</v>
      </c>
      <c r="C9" t="s">
        <v>15</v>
      </c>
      <c r="D9" t="s">
        <v>12</v>
      </c>
      <c r="E9" s="1">
        <v>41117</v>
      </c>
      <c r="F9">
        <v>9093</v>
      </c>
      <c r="G9">
        <v>124511292</v>
      </c>
      <c r="H9">
        <v>51021666</v>
      </c>
      <c r="I9" s="2"/>
    </row>
    <row r="10" spans="1:9" x14ac:dyDescent="0.25">
      <c r="A10" t="s">
        <v>29</v>
      </c>
      <c r="B10" t="s">
        <v>30</v>
      </c>
      <c r="C10" t="s">
        <v>11</v>
      </c>
      <c r="D10" t="s">
        <v>26</v>
      </c>
      <c r="E10" s="1">
        <v>42241</v>
      </c>
      <c r="F10">
        <v>5667</v>
      </c>
      <c r="G10">
        <v>4961011</v>
      </c>
      <c r="H10">
        <v>1521142</v>
      </c>
      <c r="I10" s="2"/>
    </row>
    <row r="11" spans="1:9" x14ac:dyDescent="0.25">
      <c r="A11" t="s">
        <v>31</v>
      </c>
      <c r="B11" t="s">
        <v>14</v>
      </c>
      <c r="C11" t="s">
        <v>15</v>
      </c>
      <c r="D11" t="s">
        <v>12</v>
      </c>
      <c r="E11" s="1">
        <v>41789</v>
      </c>
      <c r="F11">
        <v>11711</v>
      </c>
      <c r="G11">
        <v>135061801</v>
      </c>
      <c r="H11">
        <v>58407387</v>
      </c>
      <c r="I11" s="2"/>
    </row>
    <row r="12" spans="1:9" x14ac:dyDescent="0.25">
      <c r="A12" t="s">
        <v>32</v>
      </c>
      <c r="B12" t="s">
        <v>28</v>
      </c>
      <c r="C12" t="s">
        <v>15</v>
      </c>
      <c r="D12" t="s">
        <v>12</v>
      </c>
      <c r="E12" s="1">
        <v>40884</v>
      </c>
      <c r="F12">
        <v>9093</v>
      </c>
      <c r="G12">
        <v>1910344</v>
      </c>
      <c r="H12">
        <v>782812</v>
      </c>
      <c r="I12" s="2"/>
    </row>
    <row r="13" spans="1:9" x14ac:dyDescent="0.25">
      <c r="A13" t="s">
        <v>33</v>
      </c>
      <c r="B13" t="s">
        <v>34</v>
      </c>
      <c r="C13" t="s">
        <v>11</v>
      </c>
      <c r="D13" t="s">
        <v>12</v>
      </c>
      <c r="E13" s="1">
        <v>41870</v>
      </c>
      <c r="F13">
        <v>3584</v>
      </c>
      <c r="G13">
        <v>45547904</v>
      </c>
      <c r="H13">
        <v>30609792</v>
      </c>
      <c r="I13" s="2"/>
    </row>
    <row r="14" spans="1:9" x14ac:dyDescent="0.25">
      <c r="A14" t="s">
        <v>35</v>
      </c>
      <c r="B14" t="s">
        <v>34</v>
      </c>
      <c r="C14" t="s">
        <v>15</v>
      </c>
      <c r="D14" t="s">
        <v>19</v>
      </c>
      <c r="E14" s="1">
        <v>42738</v>
      </c>
      <c r="F14">
        <v>3584</v>
      </c>
      <c r="G14">
        <v>90298064</v>
      </c>
      <c r="H14">
        <v>60683472</v>
      </c>
      <c r="I14" s="2"/>
    </row>
    <row r="15" spans="1:9" x14ac:dyDescent="0.25">
      <c r="A15" t="s">
        <v>36</v>
      </c>
      <c r="B15" t="s">
        <v>25</v>
      </c>
      <c r="C15" t="s">
        <v>11</v>
      </c>
      <c r="D15" t="s">
        <v>12</v>
      </c>
      <c r="E15" s="1">
        <v>42779</v>
      </c>
      <c r="F15">
        <v>50254</v>
      </c>
      <c r="G15">
        <v>599705498</v>
      </c>
      <c r="H15">
        <v>148726102</v>
      </c>
      <c r="I15" s="2"/>
    </row>
    <row r="16" spans="1:9" x14ac:dyDescent="0.25">
      <c r="A16" t="s">
        <v>37</v>
      </c>
      <c r="B16" t="s">
        <v>30</v>
      </c>
      <c r="C16" t="s">
        <v>11</v>
      </c>
      <c r="D16" t="s">
        <v>16</v>
      </c>
      <c r="E16" s="1">
        <v>41693</v>
      </c>
      <c r="F16">
        <v>5667</v>
      </c>
      <c r="G16">
        <v>40055873</v>
      </c>
      <c r="H16">
        <v>12281906</v>
      </c>
      <c r="I16" s="2"/>
    </row>
    <row r="17" spans="1:9" x14ac:dyDescent="0.25">
      <c r="A17" t="s">
        <v>38</v>
      </c>
      <c r="B17" t="s">
        <v>34</v>
      </c>
      <c r="C17" t="s">
        <v>15</v>
      </c>
      <c r="D17" t="s">
        <v>26</v>
      </c>
      <c r="E17" s="1">
        <v>40974</v>
      </c>
      <c r="F17">
        <v>3584</v>
      </c>
      <c r="G17">
        <v>18282544</v>
      </c>
      <c r="H17">
        <v>12286512</v>
      </c>
      <c r="I17" s="2"/>
    </row>
    <row r="18" spans="1:9" x14ac:dyDescent="0.25">
      <c r="A18" t="s">
        <v>39</v>
      </c>
      <c r="B18" t="s">
        <v>40</v>
      </c>
      <c r="C18" t="s">
        <v>11</v>
      </c>
      <c r="D18" t="s">
        <v>26</v>
      </c>
      <c r="E18" s="1">
        <v>42722</v>
      </c>
      <c r="F18">
        <v>26333</v>
      </c>
      <c r="G18">
        <v>303094144</v>
      </c>
      <c r="H18">
        <v>120874424</v>
      </c>
      <c r="I18" s="2"/>
    </row>
    <row r="19" spans="1:9" x14ac:dyDescent="0.25">
      <c r="A19" t="s">
        <v>41</v>
      </c>
      <c r="B19" t="s">
        <v>42</v>
      </c>
      <c r="C19" t="s">
        <v>11</v>
      </c>
      <c r="D19" t="s">
        <v>16</v>
      </c>
      <c r="E19" s="1">
        <v>42112</v>
      </c>
      <c r="F19">
        <v>3179</v>
      </c>
      <c r="G19">
        <v>2576535</v>
      </c>
      <c r="H19">
        <v>850338</v>
      </c>
      <c r="I19" s="2"/>
    </row>
    <row r="20" spans="1:9" x14ac:dyDescent="0.25">
      <c r="A20" t="s">
        <v>43</v>
      </c>
      <c r="B20" t="s">
        <v>25</v>
      </c>
      <c r="C20" t="s">
        <v>11</v>
      </c>
      <c r="D20" t="s">
        <v>19</v>
      </c>
      <c r="E20" s="1">
        <v>40563</v>
      </c>
      <c r="F20">
        <v>50254</v>
      </c>
      <c r="G20">
        <v>25594741</v>
      </c>
      <c r="H20">
        <v>6347459</v>
      </c>
      <c r="I20" s="2"/>
    </row>
    <row r="21" spans="1:9" x14ac:dyDescent="0.25">
      <c r="A21" t="s">
        <v>44</v>
      </c>
      <c r="B21" t="s">
        <v>45</v>
      </c>
      <c r="C21" t="s">
        <v>15</v>
      </c>
      <c r="D21" t="s">
        <v>19</v>
      </c>
      <c r="E21" s="1">
        <v>41222</v>
      </c>
      <c r="F21">
        <v>36469</v>
      </c>
      <c r="G21">
        <v>249252612</v>
      </c>
      <c r="H21">
        <v>3379376</v>
      </c>
      <c r="I21" s="2"/>
    </row>
    <row r="22" spans="1:9" x14ac:dyDescent="0.25">
      <c r="A22" t="s">
        <v>46</v>
      </c>
      <c r="B22" t="s">
        <v>10</v>
      </c>
      <c r="C22" t="s">
        <v>15</v>
      </c>
      <c r="D22" t="s">
        <v>19</v>
      </c>
      <c r="E22" s="1">
        <v>41818</v>
      </c>
      <c r="F22">
        <v>15942</v>
      </c>
      <c r="G22">
        <v>1901836</v>
      </c>
      <c r="H22">
        <v>714157</v>
      </c>
      <c r="I22" s="2"/>
    </row>
    <row r="23" spans="1:9" x14ac:dyDescent="0.25">
      <c r="A23" t="s">
        <v>47</v>
      </c>
      <c r="B23" t="s">
        <v>10</v>
      </c>
      <c r="C23" t="s">
        <v>15</v>
      </c>
      <c r="D23" t="s">
        <v>12</v>
      </c>
      <c r="E23" s="1">
        <v>42072</v>
      </c>
      <c r="F23">
        <v>15942</v>
      </c>
      <c r="G23">
        <v>32497144</v>
      </c>
      <c r="H23">
        <v>12202978</v>
      </c>
      <c r="I23" s="2"/>
    </row>
    <row r="24" spans="1:9" x14ac:dyDescent="0.25">
      <c r="A24" t="s">
        <v>36</v>
      </c>
      <c r="B24" t="s">
        <v>48</v>
      </c>
      <c r="C24" t="s">
        <v>15</v>
      </c>
      <c r="D24" t="s">
        <v>19</v>
      </c>
      <c r="E24" s="1">
        <v>42577</v>
      </c>
      <c r="F24">
        <v>9744</v>
      </c>
      <c r="G24">
        <v>3394905</v>
      </c>
      <c r="H24">
        <v>1226865</v>
      </c>
      <c r="I24" s="2"/>
    </row>
    <row r="25" spans="1:9" x14ac:dyDescent="0.25">
      <c r="A25" t="s">
        <v>49</v>
      </c>
      <c r="B25" t="s">
        <v>21</v>
      </c>
      <c r="C25" t="s">
        <v>15</v>
      </c>
      <c r="D25" t="s">
        <v>12</v>
      </c>
      <c r="E25" s="1">
        <v>41739</v>
      </c>
      <c r="F25">
        <v>692</v>
      </c>
      <c r="G25">
        <v>2040471</v>
      </c>
      <c r="H25">
        <v>527067</v>
      </c>
      <c r="I25" s="2"/>
    </row>
    <row r="26" spans="1:9" x14ac:dyDescent="0.25">
      <c r="A26" t="s">
        <v>50</v>
      </c>
      <c r="B26" t="s">
        <v>30</v>
      </c>
      <c r="C26" t="s">
        <v>15</v>
      </c>
      <c r="D26" t="s">
        <v>19</v>
      </c>
      <c r="E26" s="1">
        <v>42648</v>
      </c>
      <c r="F26">
        <v>5667</v>
      </c>
      <c r="G26">
        <v>4143711</v>
      </c>
      <c r="H26">
        <v>1270542</v>
      </c>
      <c r="I26" s="2"/>
    </row>
    <row r="27" spans="1:9" x14ac:dyDescent="0.25">
      <c r="A27" t="s">
        <v>51</v>
      </c>
      <c r="B27" t="s">
        <v>40</v>
      </c>
      <c r="C27" t="s">
        <v>15</v>
      </c>
      <c r="D27" t="s">
        <v>12</v>
      </c>
      <c r="E27" s="1">
        <v>42861</v>
      </c>
      <c r="F27">
        <v>26333</v>
      </c>
      <c r="G27">
        <v>79351800</v>
      </c>
      <c r="H27">
        <v>31557405</v>
      </c>
      <c r="I27" s="2"/>
    </row>
    <row r="28" spans="1:9" x14ac:dyDescent="0.25">
      <c r="A28" t="s">
        <v>52</v>
      </c>
      <c r="B28" t="s">
        <v>21</v>
      </c>
      <c r="C28" t="s">
        <v>15</v>
      </c>
      <c r="D28" t="s">
        <v>26</v>
      </c>
      <c r="E28" s="1">
        <v>41923</v>
      </c>
      <c r="F28">
        <v>692</v>
      </c>
      <c r="G28">
        <v>5036334</v>
      </c>
      <c r="H28">
        <v>1300918</v>
      </c>
      <c r="I28" s="2"/>
    </row>
    <row r="29" spans="1:9" x14ac:dyDescent="0.25">
      <c r="A29" t="s">
        <v>53</v>
      </c>
      <c r="B29" t="s">
        <v>21</v>
      </c>
      <c r="C29" t="s">
        <v>15</v>
      </c>
      <c r="D29" t="s">
        <v>19</v>
      </c>
      <c r="E29" s="1">
        <v>40456</v>
      </c>
      <c r="F29">
        <v>692</v>
      </c>
      <c r="G29">
        <v>5431926</v>
      </c>
      <c r="H29">
        <v>1403102</v>
      </c>
      <c r="I29" s="2"/>
    </row>
    <row r="30" spans="1:9" x14ac:dyDescent="0.25">
      <c r="A30" t="s">
        <v>46</v>
      </c>
      <c r="B30" t="s">
        <v>42</v>
      </c>
      <c r="C30" t="s">
        <v>11</v>
      </c>
      <c r="D30" t="s">
        <v>16</v>
      </c>
      <c r="E30" s="1">
        <v>41850</v>
      </c>
      <c r="F30">
        <v>3179</v>
      </c>
      <c r="G30">
        <v>24313380</v>
      </c>
      <c r="H30">
        <v>8024184</v>
      </c>
      <c r="I30" s="2"/>
    </row>
    <row r="31" spans="1:9" x14ac:dyDescent="0.25">
      <c r="A31" t="s">
        <v>54</v>
      </c>
      <c r="B31" t="s">
        <v>25</v>
      </c>
      <c r="C31" t="s">
        <v>11</v>
      </c>
      <c r="D31" t="s">
        <v>19</v>
      </c>
      <c r="E31" s="1">
        <v>41158</v>
      </c>
      <c r="F31">
        <v>50254</v>
      </c>
      <c r="G31">
        <v>15837999</v>
      </c>
      <c r="H31">
        <v>3927801</v>
      </c>
      <c r="I31" s="2"/>
    </row>
    <row r="32" spans="1:9" x14ac:dyDescent="0.25">
      <c r="A32" t="s">
        <v>55</v>
      </c>
      <c r="B32" t="s">
        <v>40</v>
      </c>
      <c r="C32" t="s">
        <v>11</v>
      </c>
      <c r="D32" t="s">
        <v>26</v>
      </c>
      <c r="E32" s="1">
        <v>41202</v>
      </c>
      <c r="F32">
        <v>26333</v>
      </c>
      <c r="G32">
        <v>370865892</v>
      </c>
      <c r="H32">
        <v>150588807</v>
      </c>
      <c r="I32" s="2"/>
    </row>
    <row r="33" spans="1:9" x14ac:dyDescent="0.25">
      <c r="A33" t="s">
        <v>56</v>
      </c>
      <c r="B33" t="s">
        <v>30</v>
      </c>
      <c r="C33" t="s">
        <v>11</v>
      </c>
      <c r="D33" t="s">
        <v>16</v>
      </c>
      <c r="E33" s="1">
        <v>41667</v>
      </c>
      <c r="F33">
        <v>5667</v>
      </c>
      <c r="G33">
        <v>17367625</v>
      </c>
      <c r="H33">
        <v>532525</v>
      </c>
      <c r="I33" s="2"/>
    </row>
    <row r="34" spans="1:9" x14ac:dyDescent="0.25">
      <c r="A34" t="s">
        <v>57</v>
      </c>
      <c r="B34" t="s">
        <v>18</v>
      </c>
      <c r="C34" t="s">
        <v>15</v>
      </c>
      <c r="D34" t="s">
        <v>16</v>
      </c>
      <c r="E34" s="1">
        <v>42333</v>
      </c>
      <c r="F34">
        <v>52496</v>
      </c>
      <c r="G34">
        <v>190413804</v>
      </c>
      <c r="H34">
        <v>369155</v>
      </c>
      <c r="I34" s="2"/>
    </row>
    <row r="35" spans="1:9" x14ac:dyDescent="0.25">
      <c r="A35" t="s">
        <v>58</v>
      </c>
      <c r="B35" t="s">
        <v>25</v>
      </c>
      <c r="C35" t="s">
        <v>11</v>
      </c>
      <c r="D35" t="s">
        <v>12</v>
      </c>
      <c r="E35" s="1">
        <v>42007</v>
      </c>
      <c r="F35">
        <v>50254</v>
      </c>
      <c r="G35">
        <v>55132275</v>
      </c>
      <c r="H35">
        <v>13672725</v>
      </c>
      <c r="I35" s="2"/>
    </row>
    <row r="36" spans="1:9" x14ac:dyDescent="0.25">
      <c r="A36" t="s">
        <v>59</v>
      </c>
      <c r="B36" t="s">
        <v>48</v>
      </c>
      <c r="C36" t="s">
        <v>15</v>
      </c>
      <c r="D36" t="s">
        <v>26</v>
      </c>
      <c r="E36" s="1">
        <v>42791</v>
      </c>
      <c r="F36">
        <v>9744</v>
      </c>
      <c r="G36">
        <v>111795366</v>
      </c>
      <c r="H36">
        <v>40401078</v>
      </c>
      <c r="I36" s="2"/>
    </row>
    <row r="37" spans="1:9" x14ac:dyDescent="0.25">
      <c r="A37" t="s">
        <v>60</v>
      </c>
      <c r="B37" t="s">
        <v>30</v>
      </c>
      <c r="C37" t="s">
        <v>11</v>
      </c>
      <c r="D37" t="s">
        <v>19</v>
      </c>
      <c r="E37" s="1">
        <v>42876</v>
      </c>
      <c r="F37">
        <v>5667</v>
      </c>
      <c r="G37">
        <v>52380757</v>
      </c>
      <c r="H37">
        <v>16060954</v>
      </c>
      <c r="I37" s="2"/>
    </row>
    <row r="38" spans="1:9" x14ac:dyDescent="0.25">
      <c r="A38" t="s">
        <v>61</v>
      </c>
      <c r="B38" t="s">
        <v>21</v>
      </c>
      <c r="C38" t="s">
        <v>15</v>
      </c>
      <c r="D38" t="s">
        <v>19</v>
      </c>
      <c r="E38" s="1">
        <v>40614</v>
      </c>
      <c r="F38">
        <v>692</v>
      </c>
      <c r="G38">
        <v>3530472</v>
      </c>
      <c r="H38">
        <v>911944</v>
      </c>
      <c r="I38" s="2"/>
    </row>
    <row r="39" spans="1:9" x14ac:dyDescent="0.25">
      <c r="A39" t="s">
        <v>54</v>
      </c>
      <c r="B39" t="s">
        <v>45</v>
      </c>
      <c r="C39" t="s">
        <v>15</v>
      </c>
      <c r="D39" t="s">
        <v>26</v>
      </c>
      <c r="E39" s="1">
        <v>42758</v>
      </c>
      <c r="F39">
        <v>36469</v>
      </c>
      <c r="G39">
        <v>201114963</v>
      </c>
      <c r="H39">
        <v>2726724</v>
      </c>
      <c r="I39" s="2"/>
    </row>
    <row r="40" spans="1:9" x14ac:dyDescent="0.25">
      <c r="A40" t="s">
        <v>62</v>
      </c>
      <c r="B40" t="s">
        <v>18</v>
      </c>
      <c r="C40" t="s">
        <v>15</v>
      </c>
      <c r="D40" t="s">
        <v>19</v>
      </c>
      <c r="E40" s="1">
        <v>41126</v>
      </c>
      <c r="F40">
        <v>52496</v>
      </c>
      <c r="G40">
        <v>436831668</v>
      </c>
      <c r="H40">
        <v>846885</v>
      </c>
      <c r="I40" s="2"/>
    </row>
    <row r="41" spans="1:9" x14ac:dyDescent="0.25">
      <c r="A41" t="s">
        <v>38</v>
      </c>
      <c r="B41" t="s">
        <v>18</v>
      </c>
      <c r="C41" t="s">
        <v>15</v>
      </c>
      <c r="D41" t="s">
        <v>26</v>
      </c>
      <c r="E41" s="1">
        <v>40967</v>
      </c>
      <c r="F41">
        <v>52496</v>
      </c>
      <c r="G41">
        <v>259637427</v>
      </c>
      <c r="H41">
        <v>50335875</v>
      </c>
      <c r="I41" s="2"/>
    </row>
    <row r="42" spans="1:9" x14ac:dyDescent="0.25">
      <c r="A42" t="s">
        <v>63</v>
      </c>
      <c r="B42" t="s">
        <v>30</v>
      </c>
      <c r="C42" t="s">
        <v>15</v>
      </c>
      <c r="D42" t="s">
        <v>12</v>
      </c>
      <c r="E42" s="1">
        <v>42822</v>
      </c>
      <c r="F42">
        <v>5667</v>
      </c>
      <c r="G42">
        <v>24641595</v>
      </c>
      <c r="H42">
        <v>755559</v>
      </c>
      <c r="I42" s="2"/>
    </row>
    <row r="43" spans="1:9" x14ac:dyDescent="0.25">
      <c r="A43" t="s">
        <v>64</v>
      </c>
      <c r="B43" t="s">
        <v>40</v>
      </c>
      <c r="C43" t="s">
        <v>15</v>
      </c>
      <c r="D43" t="s">
        <v>26</v>
      </c>
      <c r="E43" s="1">
        <v>40234</v>
      </c>
      <c r="F43">
        <v>26333</v>
      </c>
      <c r="G43">
        <v>316027048</v>
      </c>
      <c r="H43">
        <v>125777558</v>
      </c>
      <c r="I43" s="2"/>
    </row>
    <row r="44" spans="1:9" x14ac:dyDescent="0.25">
      <c r="A44" t="s">
        <v>54</v>
      </c>
      <c r="B44" t="s">
        <v>14</v>
      </c>
      <c r="C44" t="s">
        <v>11</v>
      </c>
      <c r="D44" t="s">
        <v>12</v>
      </c>
      <c r="E44" s="1">
        <v>41127</v>
      </c>
      <c r="F44">
        <v>11711</v>
      </c>
      <c r="G44">
        <v>43054669</v>
      </c>
      <c r="H44">
        <v>18754503</v>
      </c>
      <c r="I44" s="2"/>
    </row>
    <row r="45" spans="1:9" x14ac:dyDescent="0.25">
      <c r="A45" t="s">
        <v>65</v>
      </c>
      <c r="B45" t="s">
        <v>28</v>
      </c>
      <c r="C45" t="s">
        <v>15</v>
      </c>
      <c r="D45" t="s">
        <v>12</v>
      </c>
      <c r="E45" s="1">
        <v>41193</v>
      </c>
      <c r="F45">
        <v>9093</v>
      </c>
      <c r="G45">
        <v>2634426</v>
      </c>
      <c r="H45">
        <v>1079523</v>
      </c>
      <c r="I45" s="2"/>
    </row>
    <row r="46" spans="1:9" x14ac:dyDescent="0.25">
      <c r="A46" t="s">
        <v>58</v>
      </c>
      <c r="B46" t="s">
        <v>34</v>
      </c>
      <c r="C46" t="s">
        <v>15</v>
      </c>
      <c r="D46" t="s">
        <v>12</v>
      </c>
      <c r="E46" s="1">
        <v>42326</v>
      </c>
      <c r="F46">
        <v>3584</v>
      </c>
      <c r="G46">
        <v>6480304</v>
      </c>
      <c r="H46">
        <v>4354992</v>
      </c>
      <c r="I46" s="2"/>
    </row>
    <row r="47" spans="1:9" x14ac:dyDescent="0.25">
      <c r="A47" t="s">
        <v>66</v>
      </c>
      <c r="B47" t="s">
        <v>14</v>
      </c>
      <c r="C47" t="s">
        <v>11</v>
      </c>
      <c r="D47" t="s">
        <v>12</v>
      </c>
      <c r="E47" s="1">
        <v>42489</v>
      </c>
      <c r="F47">
        <v>11711</v>
      </c>
      <c r="G47">
        <v>19780834</v>
      </c>
      <c r="H47">
        <v>8522358</v>
      </c>
      <c r="I47" s="2"/>
    </row>
    <row r="48" spans="1:9" x14ac:dyDescent="0.25">
      <c r="A48" t="s">
        <v>67</v>
      </c>
      <c r="B48" t="s">
        <v>40</v>
      </c>
      <c r="C48" t="s">
        <v>15</v>
      </c>
      <c r="D48" t="s">
        <v>16</v>
      </c>
      <c r="E48" s="1">
        <v>42735</v>
      </c>
      <c r="F48">
        <v>26333</v>
      </c>
      <c r="G48">
        <v>387066524</v>
      </c>
      <c r="H48">
        <v>154170529</v>
      </c>
      <c r="I48" s="2"/>
    </row>
    <row r="49" spans="1:9" x14ac:dyDescent="0.25">
      <c r="A49" t="s">
        <v>55</v>
      </c>
      <c r="B49" t="s">
        <v>30</v>
      </c>
      <c r="C49" t="s">
        <v>15</v>
      </c>
      <c r="D49" t="s">
        <v>26</v>
      </c>
      <c r="E49" s="1">
        <v>40574</v>
      </c>
      <c r="F49">
        <v>5667</v>
      </c>
      <c r="G49">
        <v>2231229</v>
      </c>
      <c r="H49">
        <v>684138</v>
      </c>
      <c r="I49" s="2"/>
    </row>
    <row r="50" spans="1:9" x14ac:dyDescent="0.25">
      <c r="A50" t="s">
        <v>68</v>
      </c>
      <c r="B50" t="s">
        <v>34</v>
      </c>
      <c r="C50" t="s">
        <v>11</v>
      </c>
      <c r="D50" t="s">
        <v>16</v>
      </c>
      <c r="E50" s="1">
        <v>41957</v>
      </c>
      <c r="F50">
        <v>3584</v>
      </c>
      <c r="G50">
        <v>85697376</v>
      </c>
      <c r="H50">
        <v>57591648</v>
      </c>
      <c r="I50" s="2"/>
    </row>
    <row r="51" spans="1:9" x14ac:dyDescent="0.25">
      <c r="A51" t="s">
        <v>69</v>
      </c>
      <c r="B51" t="s">
        <v>18</v>
      </c>
      <c r="C51" t="s">
        <v>11</v>
      </c>
      <c r="D51" t="s">
        <v>16</v>
      </c>
      <c r="E51" s="1">
        <v>40921</v>
      </c>
      <c r="F51">
        <v>52496</v>
      </c>
      <c r="G51">
        <v>82443186</v>
      </c>
      <c r="H51">
        <v>1598325</v>
      </c>
      <c r="I51" s="2"/>
    </row>
    <row r="52" spans="1:9" x14ac:dyDescent="0.25">
      <c r="A52" t="s">
        <v>70</v>
      </c>
      <c r="B52" t="s">
        <v>34</v>
      </c>
      <c r="C52" t="s">
        <v>15</v>
      </c>
      <c r="D52" t="s">
        <v>16</v>
      </c>
      <c r="E52" s="1">
        <v>40255</v>
      </c>
      <c r="F52">
        <v>3584</v>
      </c>
      <c r="G52">
        <v>24795632</v>
      </c>
      <c r="H52">
        <v>16663536</v>
      </c>
      <c r="I52" s="2"/>
    </row>
    <row r="53" spans="1:9" x14ac:dyDescent="0.25">
      <c r="A53" t="s">
        <v>71</v>
      </c>
      <c r="B53" t="s">
        <v>21</v>
      </c>
      <c r="C53" t="s">
        <v>15</v>
      </c>
      <c r="D53" t="s">
        <v>19</v>
      </c>
      <c r="E53" s="1">
        <v>41535</v>
      </c>
      <c r="F53">
        <v>692</v>
      </c>
      <c r="G53">
        <v>8962398</v>
      </c>
      <c r="H53">
        <v>2315046</v>
      </c>
      <c r="I53" s="2"/>
    </row>
    <row r="54" spans="1:9" x14ac:dyDescent="0.25">
      <c r="A54" t="s">
        <v>72</v>
      </c>
      <c r="B54" t="s">
        <v>14</v>
      </c>
      <c r="C54" t="s">
        <v>15</v>
      </c>
      <c r="D54" t="s">
        <v>26</v>
      </c>
      <c r="E54" s="1">
        <v>41361</v>
      </c>
      <c r="F54">
        <v>11711</v>
      </c>
      <c r="G54">
        <v>80357591</v>
      </c>
      <c r="H54">
        <v>35994117</v>
      </c>
      <c r="I54" s="2"/>
    </row>
    <row r="55" spans="1:9" x14ac:dyDescent="0.25">
      <c r="A55" t="s">
        <v>73</v>
      </c>
      <c r="B55" t="s">
        <v>18</v>
      </c>
      <c r="C55" t="s">
        <v>11</v>
      </c>
      <c r="D55" t="s">
        <v>26</v>
      </c>
      <c r="E55" s="1">
        <v>41091</v>
      </c>
      <c r="F55">
        <v>52496</v>
      </c>
      <c r="G55">
        <v>225123297</v>
      </c>
      <c r="H55">
        <v>43644625</v>
      </c>
      <c r="I55" s="2"/>
    </row>
    <row r="56" spans="1:9" x14ac:dyDescent="0.25">
      <c r="A56" t="s">
        <v>20</v>
      </c>
      <c r="B56" t="s">
        <v>21</v>
      </c>
      <c r="C56" t="s">
        <v>11</v>
      </c>
      <c r="D56" t="s">
        <v>12</v>
      </c>
      <c r="E56" s="1">
        <v>41571</v>
      </c>
      <c r="F56">
        <v>692</v>
      </c>
      <c r="G56">
        <v>7125321</v>
      </c>
      <c r="H56">
        <v>1840517</v>
      </c>
      <c r="I56" s="2"/>
    </row>
    <row r="57" spans="1:9" x14ac:dyDescent="0.25">
      <c r="A57" t="s">
        <v>74</v>
      </c>
      <c r="B57" t="s">
        <v>34</v>
      </c>
      <c r="C57" t="s">
        <v>15</v>
      </c>
      <c r="D57" t="s">
        <v>16</v>
      </c>
      <c r="E57" s="1">
        <v>41087</v>
      </c>
      <c r="F57">
        <v>3584</v>
      </c>
      <c r="G57">
        <v>38051296</v>
      </c>
      <c r="H57">
        <v>25571808</v>
      </c>
      <c r="I57" s="2"/>
    </row>
    <row r="58" spans="1:9" x14ac:dyDescent="0.25">
      <c r="A58" t="s">
        <v>75</v>
      </c>
      <c r="B58" t="s">
        <v>34</v>
      </c>
      <c r="C58" t="s">
        <v>11</v>
      </c>
      <c r="D58" t="s">
        <v>16</v>
      </c>
      <c r="E58" s="1">
        <v>40186</v>
      </c>
      <c r="F58">
        <v>3584</v>
      </c>
      <c r="G58">
        <v>10824184</v>
      </c>
      <c r="H58">
        <v>7274232</v>
      </c>
      <c r="I58" s="2"/>
    </row>
    <row r="59" spans="1:9" x14ac:dyDescent="0.25">
      <c r="A59" t="s">
        <v>76</v>
      </c>
      <c r="B59" t="s">
        <v>40</v>
      </c>
      <c r="C59" t="s">
        <v>11</v>
      </c>
      <c r="D59" t="s">
        <v>12</v>
      </c>
      <c r="E59" s="1">
        <v>42038</v>
      </c>
      <c r="F59">
        <v>26333</v>
      </c>
      <c r="G59">
        <v>124047084</v>
      </c>
      <c r="H59">
        <v>49500789</v>
      </c>
      <c r="I59" s="2"/>
    </row>
    <row r="60" spans="1:9" x14ac:dyDescent="0.25">
      <c r="A60" t="s">
        <v>77</v>
      </c>
      <c r="B60" t="s">
        <v>25</v>
      </c>
      <c r="C60" t="s">
        <v>15</v>
      </c>
      <c r="D60" t="s">
        <v>19</v>
      </c>
      <c r="E60" s="1">
        <v>40953</v>
      </c>
      <c r="F60">
        <v>50254</v>
      </c>
      <c r="G60">
        <v>18845214</v>
      </c>
      <c r="H60">
        <v>4673586</v>
      </c>
      <c r="I60" s="2"/>
    </row>
    <row r="61" spans="1:9" x14ac:dyDescent="0.25">
      <c r="A61" t="s">
        <v>59</v>
      </c>
      <c r="B61" t="s">
        <v>40</v>
      </c>
      <c r="C61" t="s">
        <v>11</v>
      </c>
      <c r="D61" t="s">
        <v>12</v>
      </c>
      <c r="E61" s="1">
        <v>41748</v>
      </c>
      <c r="F61">
        <v>26333</v>
      </c>
      <c r="G61">
        <v>310054398</v>
      </c>
      <c r="H61">
        <v>125447205</v>
      </c>
      <c r="I61" s="2"/>
    </row>
    <row r="62" spans="1:9" x14ac:dyDescent="0.25">
      <c r="A62" t="s">
        <v>57</v>
      </c>
      <c r="B62" t="s">
        <v>14</v>
      </c>
      <c r="C62" t="s">
        <v>11</v>
      </c>
      <c r="D62" t="s">
        <v>12</v>
      </c>
      <c r="E62" s="1">
        <v>41312</v>
      </c>
      <c r="F62">
        <v>11711</v>
      </c>
      <c r="G62">
        <v>10402874</v>
      </c>
      <c r="H62">
        <v>6041838</v>
      </c>
      <c r="I62" s="2"/>
    </row>
    <row r="63" spans="1:9" x14ac:dyDescent="0.25">
      <c r="A63" t="s">
        <v>78</v>
      </c>
      <c r="B63" t="s">
        <v>10</v>
      </c>
      <c r="C63" t="s">
        <v>15</v>
      </c>
      <c r="D63" t="s">
        <v>19</v>
      </c>
      <c r="E63" s="1">
        <v>41281</v>
      </c>
      <c r="F63">
        <v>15942</v>
      </c>
      <c r="G63">
        <v>1212580</v>
      </c>
      <c r="H63">
        <v>455335</v>
      </c>
      <c r="I63" s="2"/>
    </row>
    <row r="64" spans="1:9" x14ac:dyDescent="0.25">
      <c r="A64" t="s">
        <v>41</v>
      </c>
      <c r="B64" t="s">
        <v>18</v>
      </c>
      <c r="C64" t="s">
        <v>15</v>
      </c>
      <c r="D64" t="s">
        <v>26</v>
      </c>
      <c r="E64" s="1">
        <v>40862</v>
      </c>
      <c r="F64">
        <v>52496</v>
      </c>
      <c r="G64">
        <v>359337678</v>
      </c>
      <c r="H64">
        <v>6966475</v>
      </c>
      <c r="I64" s="2"/>
    </row>
    <row r="65" spans="1:9" x14ac:dyDescent="0.25">
      <c r="A65" t="s">
        <v>79</v>
      </c>
      <c r="B65" t="s">
        <v>34</v>
      </c>
      <c r="C65" t="s">
        <v>11</v>
      </c>
      <c r="D65" t="s">
        <v>12</v>
      </c>
      <c r="E65" s="1">
        <v>40499</v>
      </c>
      <c r="F65">
        <v>3584</v>
      </c>
      <c r="G65">
        <v>66835648</v>
      </c>
      <c r="H65">
        <v>44915904</v>
      </c>
      <c r="I65" s="2"/>
    </row>
    <row r="66" spans="1:9" x14ac:dyDescent="0.25">
      <c r="A66" t="s">
        <v>80</v>
      </c>
      <c r="B66" t="s">
        <v>40</v>
      </c>
      <c r="C66" t="s">
        <v>11</v>
      </c>
      <c r="D66" t="s">
        <v>12</v>
      </c>
      <c r="E66" s="1">
        <v>41594</v>
      </c>
      <c r="F66">
        <v>26333</v>
      </c>
      <c r="G66">
        <v>70454726</v>
      </c>
      <c r="H66">
        <v>29644835</v>
      </c>
      <c r="I66" s="2"/>
    </row>
    <row r="67" spans="1:9" x14ac:dyDescent="0.25">
      <c r="A67" t="s">
        <v>22</v>
      </c>
      <c r="B67" t="s">
        <v>40</v>
      </c>
      <c r="C67" t="s">
        <v>11</v>
      </c>
      <c r="D67" t="s">
        <v>12</v>
      </c>
      <c r="E67" s="1">
        <v>41603</v>
      </c>
      <c r="F67">
        <v>26333</v>
      </c>
      <c r="G67">
        <v>100573444</v>
      </c>
      <c r="H67">
        <v>77841599</v>
      </c>
      <c r="I67" s="2"/>
    </row>
    <row r="68" spans="1:9" x14ac:dyDescent="0.25">
      <c r="A68" t="s">
        <v>81</v>
      </c>
      <c r="B68" t="s">
        <v>30</v>
      </c>
      <c r="C68" t="s">
        <v>11</v>
      </c>
      <c r="D68" t="s">
        <v>19</v>
      </c>
      <c r="E68" s="1">
        <v>41159</v>
      </c>
      <c r="F68">
        <v>5667</v>
      </c>
      <c r="G68">
        <v>70745488</v>
      </c>
      <c r="H68">
        <v>21691936</v>
      </c>
      <c r="I68" s="2"/>
    </row>
    <row r="69" spans="1:9" x14ac:dyDescent="0.25">
      <c r="A69" t="s">
        <v>82</v>
      </c>
      <c r="B69" t="s">
        <v>34</v>
      </c>
      <c r="C69" t="s">
        <v>11</v>
      </c>
      <c r="D69" t="s">
        <v>26</v>
      </c>
      <c r="E69" s="1">
        <v>42560</v>
      </c>
      <c r="F69">
        <v>3584</v>
      </c>
      <c r="G69">
        <v>60082144</v>
      </c>
      <c r="H69">
        <v>40377312</v>
      </c>
      <c r="I69" s="2"/>
    </row>
    <row r="70" spans="1:9" x14ac:dyDescent="0.25">
      <c r="A70" t="s">
        <v>83</v>
      </c>
      <c r="B70" t="s">
        <v>18</v>
      </c>
      <c r="C70" t="s">
        <v>11</v>
      </c>
      <c r="D70" t="s">
        <v>12</v>
      </c>
      <c r="E70" s="1">
        <v>40499</v>
      </c>
      <c r="F70">
        <v>52496</v>
      </c>
      <c r="G70">
        <v>539657727</v>
      </c>
      <c r="H70">
        <v>104623375</v>
      </c>
      <c r="I70" s="2"/>
    </row>
    <row r="71" spans="1:9" x14ac:dyDescent="0.25">
      <c r="A71" t="s">
        <v>84</v>
      </c>
      <c r="B71" t="s">
        <v>34</v>
      </c>
      <c r="C71" t="s">
        <v>11</v>
      </c>
      <c r="D71" t="s">
        <v>19</v>
      </c>
      <c r="E71" s="1">
        <v>42152</v>
      </c>
      <c r="F71">
        <v>3584</v>
      </c>
      <c r="G71">
        <v>80233376</v>
      </c>
      <c r="H71">
        <v>53919648</v>
      </c>
      <c r="I71" s="2"/>
    </row>
    <row r="72" spans="1:9" x14ac:dyDescent="0.25">
      <c r="A72" t="s">
        <v>43</v>
      </c>
      <c r="B72" t="s">
        <v>18</v>
      </c>
      <c r="C72" t="s">
        <v>15</v>
      </c>
      <c r="D72" t="s">
        <v>26</v>
      </c>
      <c r="E72" s="1">
        <v>41414</v>
      </c>
      <c r="F72">
        <v>52496</v>
      </c>
      <c r="G72">
        <v>32625621</v>
      </c>
      <c r="H72">
        <v>6325125</v>
      </c>
      <c r="I72" s="2"/>
    </row>
    <row r="73" spans="1:9" x14ac:dyDescent="0.25">
      <c r="A73" t="s">
        <v>79</v>
      </c>
      <c r="B73" t="s">
        <v>21</v>
      </c>
      <c r="C73" t="s">
        <v>15</v>
      </c>
      <c r="D73" t="s">
        <v>19</v>
      </c>
      <c r="E73" s="1">
        <v>42277</v>
      </c>
      <c r="F73">
        <v>692</v>
      </c>
      <c r="G73">
        <v>627909</v>
      </c>
      <c r="H73">
        <v>162193</v>
      </c>
      <c r="I73" s="2"/>
    </row>
    <row r="74" spans="1:9" x14ac:dyDescent="0.25">
      <c r="A74" t="s">
        <v>85</v>
      </c>
      <c r="B74" t="s">
        <v>42</v>
      </c>
      <c r="C74" t="s">
        <v>15</v>
      </c>
      <c r="D74" t="s">
        <v>16</v>
      </c>
      <c r="E74" s="1">
        <v>40739</v>
      </c>
      <c r="F74">
        <v>3179</v>
      </c>
      <c r="G74">
        <v>27241045</v>
      </c>
      <c r="H74">
        <v>8990406</v>
      </c>
      <c r="I74" s="2"/>
    </row>
    <row r="75" spans="1:9" x14ac:dyDescent="0.25">
      <c r="A75" t="s">
        <v>59</v>
      </c>
      <c r="B75" t="s">
        <v>14</v>
      </c>
      <c r="C75" t="s">
        <v>15</v>
      </c>
      <c r="D75" t="s">
        <v>12</v>
      </c>
      <c r="E75" s="1">
        <v>42903</v>
      </c>
      <c r="F75">
        <v>11711</v>
      </c>
      <c r="G75">
        <v>170805392</v>
      </c>
      <c r="H75">
        <v>76683504</v>
      </c>
      <c r="I75" s="2"/>
    </row>
    <row r="76" spans="1:9" x14ac:dyDescent="0.25">
      <c r="A76" t="s">
        <v>86</v>
      </c>
      <c r="B76" t="s">
        <v>40</v>
      </c>
      <c r="C76" t="s">
        <v>11</v>
      </c>
      <c r="D76" t="s">
        <v>19</v>
      </c>
      <c r="E76" s="1">
        <v>41502</v>
      </c>
      <c r="F76">
        <v>26333</v>
      </c>
      <c r="G76">
        <v>430247824</v>
      </c>
      <c r="H76">
        <v>171992204</v>
      </c>
      <c r="I76" s="2"/>
    </row>
    <row r="77" spans="1:9" x14ac:dyDescent="0.25">
      <c r="A77" t="s">
        <v>87</v>
      </c>
      <c r="B77" t="s">
        <v>25</v>
      </c>
      <c r="C77" t="s">
        <v>11</v>
      </c>
      <c r="D77" t="s">
        <v>16</v>
      </c>
      <c r="E77" s="1">
        <v>41985</v>
      </c>
      <c r="F77">
        <v>50254</v>
      </c>
      <c r="G77">
        <v>464714958</v>
      </c>
      <c r="H77">
        <v>115248642</v>
      </c>
      <c r="I77" s="2"/>
    </row>
    <row r="78" spans="1:9" x14ac:dyDescent="0.25">
      <c r="A78" t="s">
        <v>88</v>
      </c>
      <c r="B78" t="s">
        <v>42</v>
      </c>
      <c r="C78" t="s">
        <v>15</v>
      </c>
      <c r="D78" t="s">
        <v>16</v>
      </c>
      <c r="E78" s="1">
        <v>41958</v>
      </c>
      <c r="F78">
        <v>3179</v>
      </c>
      <c r="G78">
        <v>44503355</v>
      </c>
      <c r="H78">
        <v>14687514</v>
      </c>
      <c r="I78" s="2"/>
    </row>
    <row r="79" spans="1:9" x14ac:dyDescent="0.25">
      <c r="A79" t="s">
        <v>89</v>
      </c>
      <c r="B79" t="s">
        <v>28</v>
      </c>
      <c r="C79" t="s">
        <v>11</v>
      </c>
      <c r="D79" t="s">
        <v>16</v>
      </c>
      <c r="E79" s="1">
        <v>40839</v>
      </c>
      <c r="F79">
        <v>9093</v>
      </c>
      <c r="G79">
        <v>57495192</v>
      </c>
      <c r="H79">
        <v>23560116</v>
      </c>
      <c r="I79" s="2"/>
    </row>
    <row r="80" spans="1:9" x14ac:dyDescent="0.25">
      <c r="A80" t="s">
        <v>90</v>
      </c>
      <c r="B80" t="s">
        <v>10</v>
      </c>
      <c r="C80" t="s">
        <v>11</v>
      </c>
      <c r="D80" t="s">
        <v>12</v>
      </c>
      <c r="E80" s="1">
        <v>40945</v>
      </c>
      <c r="F80">
        <v>15942</v>
      </c>
      <c r="G80">
        <v>219898192</v>
      </c>
      <c r="H80">
        <v>82573804</v>
      </c>
      <c r="I80" s="2"/>
    </row>
    <row r="81" spans="1:9" x14ac:dyDescent="0.25">
      <c r="A81" t="s">
        <v>91</v>
      </c>
      <c r="B81" t="s">
        <v>40</v>
      </c>
      <c r="C81" t="s">
        <v>15</v>
      </c>
      <c r="D81" t="s">
        <v>12</v>
      </c>
      <c r="E81" s="1">
        <v>41463</v>
      </c>
      <c r="F81">
        <v>26333</v>
      </c>
      <c r="G81">
        <v>420207288</v>
      </c>
      <c r="H81">
        <v>167854098</v>
      </c>
      <c r="I81" s="2"/>
    </row>
    <row r="82" spans="1:9" x14ac:dyDescent="0.25">
      <c r="A82" t="s">
        <v>92</v>
      </c>
      <c r="B82" t="s">
        <v>25</v>
      </c>
      <c r="C82" t="s">
        <v>11</v>
      </c>
      <c r="D82" t="s">
        <v>19</v>
      </c>
      <c r="E82" s="1">
        <v>41243</v>
      </c>
      <c r="F82">
        <v>50254</v>
      </c>
      <c r="G82">
        <v>301590251</v>
      </c>
      <c r="H82">
        <v>74793949</v>
      </c>
      <c r="I82" s="2"/>
    </row>
    <row r="83" spans="1:9" x14ac:dyDescent="0.25">
      <c r="A83" t="s">
        <v>93</v>
      </c>
      <c r="B83" t="s">
        <v>34</v>
      </c>
      <c r="C83" t="s">
        <v>15</v>
      </c>
      <c r="D83" t="s">
        <v>19</v>
      </c>
      <c r="E83" s="1">
        <v>41131</v>
      </c>
      <c r="F83">
        <v>3584</v>
      </c>
      <c r="G83">
        <v>86156352</v>
      </c>
      <c r="H83">
        <v>57900096</v>
      </c>
      <c r="I83" s="2"/>
    </row>
    <row r="84" spans="1:9" x14ac:dyDescent="0.25">
      <c r="A84" t="s">
        <v>94</v>
      </c>
      <c r="B84" t="s">
        <v>40</v>
      </c>
      <c r="C84" t="s">
        <v>15</v>
      </c>
      <c r="D84" t="s">
        <v>12</v>
      </c>
      <c r="E84" s="1">
        <v>42594</v>
      </c>
      <c r="F84">
        <v>26333</v>
      </c>
      <c r="G84">
        <v>280369908</v>
      </c>
      <c r="H84">
        <v>112824243</v>
      </c>
      <c r="I84" s="2"/>
    </row>
    <row r="85" spans="1:9" x14ac:dyDescent="0.25">
      <c r="A85" t="s">
        <v>95</v>
      </c>
      <c r="B85" t="s">
        <v>48</v>
      </c>
      <c r="C85" t="s">
        <v>15</v>
      </c>
      <c r="D85" t="s">
        <v>19</v>
      </c>
      <c r="E85" s="1">
        <v>40664</v>
      </c>
      <c r="F85">
        <v>9744</v>
      </c>
      <c r="G85">
        <v>6232893</v>
      </c>
      <c r="H85">
        <v>2252469</v>
      </c>
      <c r="I85" s="2"/>
    </row>
    <row r="86" spans="1:9" x14ac:dyDescent="0.25">
      <c r="A86" t="s">
        <v>96</v>
      </c>
      <c r="B86" t="s">
        <v>28</v>
      </c>
      <c r="C86" t="s">
        <v>15</v>
      </c>
      <c r="D86" t="s">
        <v>19</v>
      </c>
      <c r="E86" s="1">
        <v>41094</v>
      </c>
      <c r="F86">
        <v>9093</v>
      </c>
      <c r="G86">
        <v>99476542</v>
      </c>
      <c r="H86">
        <v>40763041</v>
      </c>
      <c r="I86" s="2"/>
    </row>
    <row r="87" spans="1:9" x14ac:dyDescent="0.25">
      <c r="A87" t="s">
        <v>87</v>
      </c>
      <c r="B87" t="s">
        <v>30</v>
      </c>
      <c r="C87" t="s">
        <v>11</v>
      </c>
      <c r="D87" t="s">
        <v>19</v>
      </c>
      <c r="E87" s="1">
        <v>40988</v>
      </c>
      <c r="F87">
        <v>5667</v>
      </c>
      <c r="G87">
        <v>52487006</v>
      </c>
      <c r="H87">
        <v>16093532</v>
      </c>
      <c r="I87" s="2"/>
    </row>
    <row r="88" spans="1:9" x14ac:dyDescent="0.25">
      <c r="A88" t="s">
        <v>20</v>
      </c>
      <c r="B88" t="s">
        <v>42</v>
      </c>
      <c r="C88" t="s">
        <v>11</v>
      </c>
      <c r="D88" t="s">
        <v>16</v>
      </c>
      <c r="E88" s="1">
        <v>40564</v>
      </c>
      <c r="F88">
        <v>3179</v>
      </c>
      <c r="G88">
        <v>41893605</v>
      </c>
      <c r="H88">
        <v>13826214</v>
      </c>
      <c r="I88" s="2"/>
    </row>
    <row r="89" spans="1:9" x14ac:dyDescent="0.25">
      <c r="A89" t="s">
        <v>54</v>
      </c>
      <c r="B89" t="s">
        <v>10</v>
      </c>
      <c r="C89" t="s">
        <v>11</v>
      </c>
      <c r="D89" t="s">
        <v>26</v>
      </c>
      <c r="E89" s="1">
        <v>41718</v>
      </c>
      <c r="F89">
        <v>15942</v>
      </c>
      <c r="G89">
        <v>141910152</v>
      </c>
      <c r="H89">
        <v>53288574</v>
      </c>
      <c r="I89" s="2"/>
    </row>
    <row r="90" spans="1:9" x14ac:dyDescent="0.25">
      <c r="A90" t="s">
        <v>97</v>
      </c>
      <c r="B90" t="s">
        <v>21</v>
      </c>
      <c r="C90" t="s">
        <v>15</v>
      </c>
      <c r="D90" t="s">
        <v>26</v>
      </c>
      <c r="E90" s="1">
        <v>41047</v>
      </c>
      <c r="F90">
        <v>692</v>
      </c>
      <c r="G90">
        <v>487026</v>
      </c>
      <c r="H90">
        <v>125802</v>
      </c>
      <c r="I90" s="2"/>
    </row>
    <row r="91" spans="1:9" x14ac:dyDescent="0.25">
      <c r="A91" t="s">
        <v>98</v>
      </c>
      <c r="B91" t="s">
        <v>42</v>
      </c>
      <c r="C91" t="s">
        <v>11</v>
      </c>
      <c r="D91" t="s">
        <v>16</v>
      </c>
      <c r="E91" s="1">
        <v>42699</v>
      </c>
      <c r="F91">
        <v>3179</v>
      </c>
      <c r="G91">
        <v>2201117</v>
      </c>
      <c r="H91">
        <v>729756</v>
      </c>
      <c r="I91" s="2"/>
    </row>
    <row r="92" spans="1:9" x14ac:dyDescent="0.25">
      <c r="A92" t="s">
        <v>73</v>
      </c>
      <c r="B92" t="s">
        <v>18</v>
      </c>
      <c r="C92" t="s">
        <v>11</v>
      </c>
      <c r="D92" t="s">
        <v>12</v>
      </c>
      <c r="E92" s="1">
        <v>42718</v>
      </c>
      <c r="F92">
        <v>52496</v>
      </c>
      <c r="G92">
        <v>61734708</v>
      </c>
      <c r="H92">
        <v>119685</v>
      </c>
      <c r="I92" s="2"/>
    </row>
    <row r="93" spans="1:9" x14ac:dyDescent="0.25">
      <c r="A93" t="s">
        <v>57</v>
      </c>
      <c r="B93" t="s">
        <v>42</v>
      </c>
      <c r="C93" t="s">
        <v>11</v>
      </c>
      <c r="D93" t="s">
        <v>12</v>
      </c>
      <c r="E93" s="1">
        <v>41950</v>
      </c>
      <c r="F93">
        <v>3179</v>
      </c>
      <c r="G93">
        <v>44550805</v>
      </c>
      <c r="H93">
        <v>14703174</v>
      </c>
      <c r="I93" s="2"/>
    </row>
    <row r="94" spans="1:9" x14ac:dyDescent="0.25">
      <c r="A94" t="s">
        <v>64</v>
      </c>
      <c r="B94" t="s">
        <v>18</v>
      </c>
      <c r="C94" t="s">
        <v>15</v>
      </c>
      <c r="D94" t="s">
        <v>26</v>
      </c>
      <c r="E94" s="1">
        <v>41114</v>
      </c>
      <c r="F94">
        <v>52496</v>
      </c>
      <c r="G94">
        <v>131609541</v>
      </c>
      <c r="H94">
        <v>25515125</v>
      </c>
      <c r="I94" s="2"/>
    </row>
    <row r="95" spans="1:9" x14ac:dyDescent="0.25">
      <c r="A95" t="s">
        <v>99</v>
      </c>
      <c r="B95" t="s">
        <v>40</v>
      </c>
      <c r="C95" t="s">
        <v>15</v>
      </c>
      <c r="D95" t="s">
        <v>12</v>
      </c>
      <c r="E95" s="1">
        <v>40537</v>
      </c>
      <c r="F95">
        <v>26333</v>
      </c>
      <c r="G95">
        <v>34958252</v>
      </c>
      <c r="H95">
        <v>13753117</v>
      </c>
      <c r="I95" s="2"/>
    </row>
    <row r="96" spans="1:9" x14ac:dyDescent="0.25">
      <c r="A96" t="s">
        <v>100</v>
      </c>
      <c r="B96" t="s">
        <v>42</v>
      </c>
      <c r="C96" t="s">
        <v>11</v>
      </c>
      <c r="D96" t="s">
        <v>16</v>
      </c>
      <c r="E96" s="1">
        <v>40623</v>
      </c>
      <c r="F96">
        <v>3179</v>
      </c>
      <c r="G96">
        <v>38970022</v>
      </c>
      <c r="H96">
        <v>12772296</v>
      </c>
      <c r="I96" s="2"/>
    </row>
    <row r="97" spans="1:9" x14ac:dyDescent="0.25">
      <c r="A97" t="s">
        <v>53</v>
      </c>
      <c r="B97" t="s">
        <v>34</v>
      </c>
      <c r="C97" t="s">
        <v>15</v>
      </c>
      <c r="D97" t="s">
        <v>26</v>
      </c>
      <c r="E97" s="1">
        <v>40611</v>
      </c>
      <c r="F97">
        <v>3584</v>
      </c>
      <c r="G97">
        <v>9704064</v>
      </c>
      <c r="H97">
        <v>6521472</v>
      </c>
      <c r="I97" s="2"/>
    </row>
    <row r="98" spans="1:9" x14ac:dyDescent="0.25">
      <c r="A98" t="s">
        <v>101</v>
      </c>
      <c r="B98" t="s">
        <v>21</v>
      </c>
      <c r="C98" t="s">
        <v>11</v>
      </c>
      <c r="D98" t="s">
        <v>19</v>
      </c>
      <c r="E98" s="1">
        <v>40905</v>
      </c>
      <c r="F98">
        <v>692</v>
      </c>
      <c r="G98">
        <v>5847111</v>
      </c>
      <c r="H98">
        <v>1510347</v>
      </c>
      <c r="I98" s="2"/>
    </row>
    <row r="99" spans="1:9" x14ac:dyDescent="0.25">
      <c r="A99" t="s">
        <v>73</v>
      </c>
      <c r="B99" t="s">
        <v>28</v>
      </c>
      <c r="C99" t="s">
        <v>11</v>
      </c>
      <c r="D99" t="s">
        <v>16</v>
      </c>
      <c r="E99" s="1">
        <v>42550</v>
      </c>
      <c r="F99">
        <v>9093</v>
      </c>
      <c r="G99">
        <v>22987791</v>
      </c>
      <c r="H99">
        <v>9374805</v>
      </c>
      <c r="I99" s="2"/>
    </row>
    <row r="100" spans="1:9" x14ac:dyDescent="0.25">
      <c r="A100" t="s">
        <v>87</v>
      </c>
      <c r="B100" t="s">
        <v>30</v>
      </c>
      <c r="C100" t="s">
        <v>11</v>
      </c>
      <c r="D100" t="s">
        <v>26</v>
      </c>
      <c r="E100" s="1">
        <v>42224</v>
      </c>
      <c r="F100">
        <v>5667</v>
      </c>
      <c r="G100">
        <v>47133691</v>
      </c>
      <c r="H100">
        <v>14452102</v>
      </c>
      <c r="I100" s="2"/>
    </row>
    <row r="101" spans="1:9" x14ac:dyDescent="0.25">
      <c r="A101" t="s">
        <v>102</v>
      </c>
      <c r="B101" t="s">
        <v>25</v>
      </c>
      <c r="C101" t="s">
        <v>11</v>
      </c>
      <c r="D101" t="s">
        <v>19</v>
      </c>
      <c r="E101" s="1">
        <v>40954</v>
      </c>
      <c r="F101">
        <v>50254</v>
      </c>
      <c r="G101">
        <v>358660509</v>
      </c>
      <c r="H101">
        <v>88947291</v>
      </c>
      <c r="I1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2"/>
  <sheetViews>
    <sheetView topLeftCell="A81" workbookViewId="0">
      <selection activeCell="G102" sqref="G102"/>
    </sheetView>
  </sheetViews>
  <sheetFormatPr defaultRowHeight="15" x14ac:dyDescent="0.25"/>
  <cols>
    <col min="1" max="1" width="31.5703125" bestFit="1" customWidth="1"/>
    <col min="2" max="2" width="14.5703125" bestFit="1" customWidth="1"/>
    <col min="3" max="3" width="15.7109375" bestFit="1" customWidth="1"/>
    <col min="4" max="4" width="15.5703125" bestFit="1" customWidth="1"/>
    <col min="5" max="5" width="11.7109375" bestFit="1" customWidth="1"/>
    <col min="6" max="6" width="11.42578125" style="6" bestFit="1" customWidth="1"/>
    <col min="7" max="7" width="16.140625" style="6" bestFit="1" customWidth="1"/>
    <col min="8" max="8" width="13.5703125" style="6" bestFit="1" customWidth="1"/>
    <col min="9" max="9" width="16.7109375" bestFit="1" customWidth="1"/>
    <col min="10" max="10" width="15" style="15" bestFit="1" customWidth="1"/>
  </cols>
  <sheetData>
    <row r="1" spans="1:10" x14ac:dyDescent="0.25">
      <c r="A1" s="9" t="s">
        <v>0</v>
      </c>
      <c r="B1" s="9" t="s">
        <v>1</v>
      </c>
      <c r="C1" s="9" t="s">
        <v>2</v>
      </c>
      <c r="D1" s="9" t="s">
        <v>3</v>
      </c>
      <c r="E1" s="9" t="s">
        <v>4</v>
      </c>
      <c r="F1" s="11" t="s">
        <v>5</v>
      </c>
      <c r="G1" s="11" t="s">
        <v>6</v>
      </c>
      <c r="H1" s="11" t="s">
        <v>7</v>
      </c>
      <c r="I1" s="9" t="s">
        <v>8</v>
      </c>
      <c r="J1" s="14" t="s">
        <v>105</v>
      </c>
    </row>
    <row r="2" spans="1:10" x14ac:dyDescent="0.25">
      <c r="A2" s="9" t="s">
        <v>9</v>
      </c>
      <c r="B2" s="9" t="s">
        <v>10</v>
      </c>
      <c r="C2" s="9" t="s">
        <v>11</v>
      </c>
      <c r="D2" s="9" t="s">
        <v>12</v>
      </c>
      <c r="E2" s="10">
        <v>40356</v>
      </c>
      <c r="F2" s="12">
        <v>15942</v>
      </c>
      <c r="G2" s="12">
        <v>25336540</v>
      </c>
      <c r="H2" s="12">
        <v>9514105</v>
      </c>
      <c r="I2" s="12">
        <f>SalesSummary[[#This Row],[Total Revenue]]-SalesSummary[[#This Row],[Total Profit]]</f>
        <v>15822435</v>
      </c>
      <c r="J2" s="14">
        <f>SalesSummary[[#This Row],[Total Profit]]/SalesSummary[[#This Row],[Total Revenue]]</f>
        <v>0.37550924475086178</v>
      </c>
    </row>
    <row r="3" spans="1:10" x14ac:dyDescent="0.25">
      <c r="A3" s="9" t="s">
        <v>13</v>
      </c>
      <c r="B3" s="9" t="s">
        <v>14</v>
      </c>
      <c r="C3" s="9" t="s">
        <v>15</v>
      </c>
      <c r="D3" s="9" t="s">
        <v>16</v>
      </c>
      <c r="E3" s="10">
        <v>41167</v>
      </c>
      <c r="F3" s="12">
        <v>11711</v>
      </c>
      <c r="G3" s="12">
        <v>57678280</v>
      </c>
      <c r="H3" s="12">
        <v>24840636</v>
      </c>
      <c r="I3" s="12">
        <f>SalesSummary[[#This Row],[Total Revenue]]-SalesSummary[[#This Row],[Total Profit]]</f>
        <v>32837644</v>
      </c>
      <c r="J3" s="14">
        <f>SalesSummary[[#This Row],[Total Profit]]/SalesSummary[[#This Row],[Total Revenue]]</f>
        <v>0.43067574137092851</v>
      </c>
    </row>
    <row r="4" spans="1:10" x14ac:dyDescent="0.25">
      <c r="A4" s="9" t="s">
        <v>17</v>
      </c>
      <c r="B4" s="9" t="s">
        <v>18</v>
      </c>
      <c r="C4" s="9" t="s">
        <v>11</v>
      </c>
      <c r="D4" s="9" t="s">
        <v>19</v>
      </c>
      <c r="E4" s="10">
        <v>41856</v>
      </c>
      <c r="F4" s="12">
        <v>52496</v>
      </c>
      <c r="G4" s="12">
        <v>115850259</v>
      </c>
      <c r="H4" s="12">
        <v>22459875</v>
      </c>
      <c r="I4" s="12">
        <f>SalesSummary[[#This Row],[Total Revenue]]-SalesSummary[[#This Row],[Total Profit]]</f>
        <v>93390384</v>
      </c>
      <c r="J4" s="14">
        <f>SalesSummary[[#This Row],[Total Profit]]/SalesSummary[[#This Row],[Total Revenue]]</f>
        <v>0.19386987300563566</v>
      </c>
    </row>
    <row r="5" spans="1:10" x14ac:dyDescent="0.25">
      <c r="A5" s="9" t="s">
        <v>20</v>
      </c>
      <c r="B5" s="9" t="s">
        <v>21</v>
      </c>
      <c r="C5" s="9" t="s">
        <v>15</v>
      </c>
      <c r="D5" s="9" t="s">
        <v>16</v>
      </c>
      <c r="E5" s="10">
        <v>41766</v>
      </c>
      <c r="F5" s="12">
        <v>692</v>
      </c>
      <c r="G5" s="12">
        <v>7559166</v>
      </c>
      <c r="H5" s="12">
        <v>1952582</v>
      </c>
      <c r="I5" s="12">
        <f>SalesSummary[[#This Row],[Total Revenue]]-SalesSummary[[#This Row],[Total Profit]]</f>
        <v>5606584</v>
      </c>
      <c r="J5" s="14">
        <f>SalesSummary[[#This Row],[Total Profit]]/SalesSummary[[#This Row],[Total Revenue]]</f>
        <v>0.25830653804930331</v>
      </c>
    </row>
    <row r="6" spans="1:10" x14ac:dyDescent="0.25">
      <c r="A6" s="9" t="s">
        <v>22</v>
      </c>
      <c r="B6" s="9" t="s">
        <v>18</v>
      </c>
      <c r="C6" s="9" t="s">
        <v>11</v>
      </c>
      <c r="D6" s="9" t="s">
        <v>19</v>
      </c>
      <c r="E6" s="10">
        <v>41427</v>
      </c>
      <c r="F6" s="12">
        <v>52496</v>
      </c>
      <c r="G6" s="12">
        <v>329642502</v>
      </c>
      <c r="H6" s="12">
        <v>6390775</v>
      </c>
      <c r="I6" s="12">
        <f>SalesSummary[[#This Row],[Total Revenue]]-SalesSummary[[#This Row],[Total Profit]]</f>
        <v>323251727</v>
      </c>
      <c r="J6" s="14">
        <f>SalesSummary[[#This Row],[Total Profit]]/SalesSummary[[#This Row],[Total Revenue]]</f>
        <v>1.9386987300563565E-2</v>
      </c>
    </row>
    <row r="7" spans="1:10" x14ac:dyDescent="0.25">
      <c r="A7" s="9" t="s">
        <v>23</v>
      </c>
      <c r="B7" s="9" t="s">
        <v>10</v>
      </c>
      <c r="C7" s="9" t="s">
        <v>15</v>
      </c>
      <c r="D7" s="9" t="s">
        <v>16</v>
      </c>
      <c r="E7" s="10">
        <v>42056</v>
      </c>
      <c r="F7" s="12">
        <v>15942</v>
      </c>
      <c r="G7" s="12">
        <v>75920272</v>
      </c>
      <c r="H7" s="12">
        <v>28508764</v>
      </c>
      <c r="I7" s="12">
        <f>SalesSummary[[#This Row],[Total Revenue]]-SalesSummary[[#This Row],[Total Profit]]</f>
        <v>47411508</v>
      </c>
      <c r="J7" s="14">
        <f>SalesSummary[[#This Row],[Total Profit]]/SalesSummary[[#This Row],[Total Revenue]]</f>
        <v>0.37550924475086178</v>
      </c>
    </row>
    <row r="8" spans="1:10" x14ac:dyDescent="0.25">
      <c r="A8" s="9" t="s">
        <v>24</v>
      </c>
      <c r="B8" s="9" t="s">
        <v>25</v>
      </c>
      <c r="C8" s="9" t="s">
        <v>11</v>
      </c>
      <c r="D8" s="9" t="s">
        <v>26</v>
      </c>
      <c r="E8" s="10">
        <v>40660</v>
      </c>
      <c r="F8" s="12">
        <v>50254</v>
      </c>
      <c r="G8" s="12">
        <v>279804649</v>
      </c>
      <c r="H8" s="12">
        <v>69391151</v>
      </c>
      <c r="I8" s="12">
        <f>SalesSummary[[#This Row],[Total Revenue]]-SalesSummary[[#This Row],[Total Profit]]</f>
        <v>210413498</v>
      </c>
      <c r="J8" s="14">
        <f>SalesSummary[[#This Row],[Total Profit]]/SalesSummary[[#This Row],[Total Revenue]]</f>
        <v>0.24799856345489099</v>
      </c>
    </row>
    <row r="9" spans="1:10" x14ac:dyDescent="0.25">
      <c r="A9" s="9" t="s">
        <v>27</v>
      </c>
      <c r="B9" s="9" t="s">
        <v>28</v>
      </c>
      <c r="C9" s="9" t="s">
        <v>15</v>
      </c>
      <c r="D9" s="9" t="s">
        <v>12</v>
      </c>
      <c r="E9" s="10">
        <v>41117</v>
      </c>
      <c r="F9" s="12">
        <v>9093</v>
      </c>
      <c r="G9" s="12">
        <v>124511292</v>
      </c>
      <c r="H9" s="12">
        <v>51021666</v>
      </c>
      <c r="I9" s="12">
        <f>SalesSummary[[#This Row],[Total Revenue]]-SalesSummary[[#This Row],[Total Profit]]</f>
        <v>73489626</v>
      </c>
      <c r="J9" s="14">
        <f>SalesSummary[[#This Row],[Total Profit]]/SalesSummary[[#This Row],[Total Revenue]]</f>
        <v>0.40977541217707386</v>
      </c>
    </row>
    <row r="10" spans="1:10" x14ac:dyDescent="0.25">
      <c r="A10" s="9" t="s">
        <v>29</v>
      </c>
      <c r="B10" s="9" t="s">
        <v>30</v>
      </c>
      <c r="C10" s="9" t="s">
        <v>11</v>
      </c>
      <c r="D10" s="9" t="s">
        <v>26</v>
      </c>
      <c r="E10" s="10">
        <v>42241</v>
      </c>
      <c r="F10" s="12">
        <v>5667</v>
      </c>
      <c r="G10" s="12">
        <v>4961011</v>
      </c>
      <c r="H10" s="12">
        <v>1521142</v>
      </c>
      <c r="I10" s="12">
        <f>SalesSummary[[#This Row],[Total Revenue]]-SalesSummary[[#This Row],[Total Profit]]</f>
        <v>3439869</v>
      </c>
      <c r="J10" s="14">
        <f>SalesSummary[[#This Row],[Total Profit]]/SalesSummary[[#This Row],[Total Revenue]]</f>
        <v>0.30661935641747218</v>
      </c>
    </row>
    <row r="11" spans="1:10" x14ac:dyDescent="0.25">
      <c r="A11" s="9" t="s">
        <v>31</v>
      </c>
      <c r="B11" s="9" t="s">
        <v>14</v>
      </c>
      <c r="C11" s="9" t="s">
        <v>15</v>
      </c>
      <c r="D11" s="9" t="s">
        <v>12</v>
      </c>
      <c r="E11" s="10">
        <v>41789</v>
      </c>
      <c r="F11" s="12">
        <v>11711</v>
      </c>
      <c r="G11" s="12">
        <v>135061801</v>
      </c>
      <c r="H11" s="12">
        <v>58407387</v>
      </c>
      <c r="I11" s="12">
        <f>SalesSummary[[#This Row],[Total Revenue]]-SalesSummary[[#This Row],[Total Profit]]</f>
        <v>76654414</v>
      </c>
      <c r="J11" s="14">
        <f>SalesSummary[[#This Row],[Total Profit]]/SalesSummary[[#This Row],[Total Revenue]]</f>
        <v>0.4324493422089048</v>
      </c>
    </row>
    <row r="12" spans="1:10" x14ac:dyDescent="0.25">
      <c r="A12" s="9" t="s">
        <v>32</v>
      </c>
      <c r="B12" s="9" t="s">
        <v>28</v>
      </c>
      <c r="C12" s="9" t="s">
        <v>15</v>
      </c>
      <c r="D12" s="9" t="s">
        <v>12</v>
      </c>
      <c r="E12" s="10">
        <v>40884</v>
      </c>
      <c r="F12" s="12">
        <v>9093</v>
      </c>
      <c r="G12" s="12">
        <v>1910344</v>
      </c>
      <c r="H12" s="12">
        <v>782812</v>
      </c>
      <c r="I12" s="12">
        <f>SalesSummary[[#This Row],[Total Revenue]]-SalesSummary[[#This Row],[Total Profit]]</f>
        <v>1127532</v>
      </c>
      <c r="J12" s="14">
        <f>SalesSummary[[#This Row],[Total Profit]]/SalesSummary[[#This Row],[Total Revenue]]</f>
        <v>0.40977541217707386</v>
      </c>
    </row>
    <row r="13" spans="1:10" x14ac:dyDescent="0.25">
      <c r="A13" s="9" t="s">
        <v>33</v>
      </c>
      <c r="B13" s="9" t="s">
        <v>34</v>
      </c>
      <c r="C13" s="9" t="s">
        <v>11</v>
      </c>
      <c r="D13" s="9" t="s">
        <v>12</v>
      </c>
      <c r="E13" s="10">
        <v>41870</v>
      </c>
      <c r="F13" s="12">
        <v>3584</v>
      </c>
      <c r="G13" s="12">
        <v>45547904</v>
      </c>
      <c r="H13" s="12">
        <v>30609792</v>
      </c>
      <c r="I13" s="12">
        <f>SalesSummary[[#This Row],[Total Revenue]]-SalesSummary[[#This Row],[Total Profit]]</f>
        <v>14938112</v>
      </c>
      <c r="J13" s="14">
        <f>SalesSummary[[#This Row],[Total Profit]]/SalesSummary[[#This Row],[Total Revenue]]</f>
        <v>0.67203513909224011</v>
      </c>
    </row>
    <row r="14" spans="1:10" x14ac:dyDescent="0.25">
      <c r="A14" s="9" t="s">
        <v>35</v>
      </c>
      <c r="B14" s="9" t="s">
        <v>34</v>
      </c>
      <c r="C14" s="9" t="s">
        <v>15</v>
      </c>
      <c r="D14" s="9" t="s">
        <v>19</v>
      </c>
      <c r="E14" s="10">
        <v>42738</v>
      </c>
      <c r="F14" s="12">
        <v>3584</v>
      </c>
      <c r="G14" s="12">
        <v>90298064</v>
      </c>
      <c r="H14" s="12">
        <v>60683472</v>
      </c>
      <c r="I14" s="12">
        <f>SalesSummary[[#This Row],[Total Revenue]]-SalesSummary[[#This Row],[Total Profit]]</f>
        <v>29614592</v>
      </c>
      <c r="J14" s="14">
        <f>SalesSummary[[#This Row],[Total Profit]]/SalesSummary[[#This Row],[Total Revenue]]</f>
        <v>0.67203513909224011</v>
      </c>
    </row>
    <row r="15" spans="1:10" x14ac:dyDescent="0.25">
      <c r="A15" s="9" t="s">
        <v>36</v>
      </c>
      <c r="B15" s="9" t="s">
        <v>25</v>
      </c>
      <c r="C15" s="9" t="s">
        <v>11</v>
      </c>
      <c r="D15" s="9" t="s">
        <v>12</v>
      </c>
      <c r="E15" s="10">
        <v>42779</v>
      </c>
      <c r="F15" s="12">
        <v>50254</v>
      </c>
      <c r="G15" s="12">
        <v>599705498</v>
      </c>
      <c r="H15" s="12">
        <v>148726102</v>
      </c>
      <c r="I15" s="12">
        <f>SalesSummary[[#This Row],[Total Revenue]]-SalesSummary[[#This Row],[Total Profit]]</f>
        <v>450979396</v>
      </c>
      <c r="J15" s="14">
        <f>SalesSummary[[#This Row],[Total Profit]]/SalesSummary[[#This Row],[Total Revenue]]</f>
        <v>0.24799856345489099</v>
      </c>
    </row>
    <row r="16" spans="1:10" x14ac:dyDescent="0.25">
      <c r="A16" s="9" t="s">
        <v>37</v>
      </c>
      <c r="B16" s="9" t="s">
        <v>30</v>
      </c>
      <c r="C16" s="9" t="s">
        <v>11</v>
      </c>
      <c r="D16" s="9" t="s">
        <v>16</v>
      </c>
      <c r="E16" s="10">
        <v>41693</v>
      </c>
      <c r="F16" s="12">
        <v>5667</v>
      </c>
      <c r="G16" s="12">
        <v>40055873</v>
      </c>
      <c r="H16" s="12">
        <v>12281906</v>
      </c>
      <c r="I16" s="12">
        <f>SalesSummary[[#This Row],[Total Revenue]]-SalesSummary[[#This Row],[Total Profit]]</f>
        <v>27773967</v>
      </c>
      <c r="J16" s="14">
        <f>SalesSummary[[#This Row],[Total Profit]]/SalesSummary[[#This Row],[Total Revenue]]</f>
        <v>0.30661935641747218</v>
      </c>
    </row>
    <row r="17" spans="1:10" x14ac:dyDescent="0.25">
      <c r="A17" s="9" t="s">
        <v>38</v>
      </c>
      <c r="B17" s="9" t="s">
        <v>34</v>
      </c>
      <c r="C17" s="9" t="s">
        <v>15</v>
      </c>
      <c r="D17" s="9" t="s">
        <v>26</v>
      </c>
      <c r="E17" s="10">
        <v>40974</v>
      </c>
      <c r="F17" s="12">
        <v>3584</v>
      </c>
      <c r="G17" s="12">
        <v>18282544</v>
      </c>
      <c r="H17" s="12">
        <v>12286512</v>
      </c>
      <c r="I17" s="12">
        <f>SalesSummary[[#This Row],[Total Revenue]]-SalesSummary[[#This Row],[Total Profit]]</f>
        <v>5996032</v>
      </c>
      <c r="J17" s="14">
        <f>SalesSummary[[#This Row],[Total Profit]]/SalesSummary[[#This Row],[Total Revenue]]</f>
        <v>0.67203513909224011</v>
      </c>
    </row>
    <row r="18" spans="1:10" x14ac:dyDescent="0.25">
      <c r="A18" s="9" t="s">
        <v>39</v>
      </c>
      <c r="B18" s="9" t="s">
        <v>40</v>
      </c>
      <c r="C18" s="9" t="s">
        <v>11</v>
      </c>
      <c r="D18" s="9" t="s">
        <v>26</v>
      </c>
      <c r="E18" s="10">
        <v>42722</v>
      </c>
      <c r="F18" s="12">
        <v>26333</v>
      </c>
      <c r="G18" s="12">
        <v>303094144</v>
      </c>
      <c r="H18" s="12">
        <v>120874424</v>
      </c>
      <c r="I18" s="12">
        <f>SalesSummary[[#This Row],[Total Revenue]]-SalesSummary[[#This Row],[Total Profit]]</f>
        <v>182219720</v>
      </c>
      <c r="J18" s="14">
        <f>SalesSummary[[#This Row],[Total Profit]]/SalesSummary[[#This Row],[Total Revenue]]</f>
        <v>0.39880158159703671</v>
      </c>
    </row>
    <row r="19" spans="1:10" x14ac:dyDescent="0.25">
      <c r="A19" s="9" t="s">
        <v>41</v>
      </c>
      <c r="B19" s="9" t="s">
        <v>42</v>
      </c>
      <c r="C19" s="9" t="s">
        <v>11</v>
      </c>
      <c r="D19" s="9" t="s">
        <v>16</v>
      </c>
      <c r="E19" s="10">
        <v>42112</v>
      </c>
      <c r="F19" s="12">
        <v>3179</v>
      </c>
      <c r="G19" s="12">
        <v>2576535</v>
      </c>
      <c r="H19" s="12">
        <v>850338</v>
      </c>
      <c r="I19" s="12">
        <f>SalesSummary[[#This Row],[Total Revenue]]-SalesSummary[[#This Row],[Total Profit]]</f>
        <v>1726197</v>
      </c>
      <c r="J19" s="14">
        <f>SalesSummary[[#This Row],[Total Profit]]/SalesSummary[[#This Row],[Total Revenue]]</f>
        <v>0.33003161222339306</v>
      </c>
    </row>
    <row r="20" spans="1:10" x14ac:dyDescent="0.25">
      <c r="A20" s="9" t="s">
        <v>43</v>
      </c>
      <c r="B20" s="9" t="s">
        <v>25</v>
      </c>
      <c r="C20" s="9" t="s">
        <v>11</v>
      </c>
      <c r="D20" s="9" t="s">
        <v>19</v>
      </c>
      <c r="E20" s="10">
        <v>40563</v>
      </c>
      <c r="F20" s="12">
        <v>50254</v>
      </c>
      <c r="G20" s="12">
        <v>25594741</v>
      </c>
      <c r="H20" s="12">
        <v>6347459</v>
      </c>
      <c r="I20" s="12">
        <f>SalesSummary[[#This Row],[Total Revenue]]-SalesSummary[[#This Row],[Total Profit]]</f>
        <v>19247282</v>
      </c>
      <c r="J20" s="14">
        <f>SalesSummary[[#This Row],[Total Profit]]/SalesSummary[[#This Row],[Total Revenue]]</f>
        <v>0.24799856345489099</v>
      </c>
    </row>
    <row r="21" spans="1:10" x14ac:dyDescent="0.25">
      <c r="A21" s="9" t="s">
        <v>44</v>
      </c>
      <c r="B21" s="9" t="s">
        <v>45</v>
      </c>
      <c r="C21" s="9" t="s">
        <v>15</v>
      </c>
      <c r="D21" s="9" t="s">
        <v>19</v>
      </c>
      <c r="E21" s="10">
        <v>41222</v>
      </c>
      <c r="F21" s="12">
        <v>36469</v>
      </c>
      <c r="G21" s="12">
        <v>249252612</v>
      </c>
      <c r="H21" s="12">
        <v>3379376</v>
      </c>
      <c r="I21" s="12">
        <f>SalesSummary[[#This Row],[Total Revenue]]-SalesSummary[[#This Row],[Total Profit]]</f>
        <v>245873236</v>
      </c>
      <c r="J21" s="14">
        <f>SalesSummary[[#This Row],[Total Profit]]/SalesSummary[[#This Row],[Total Revenue]]</f>
        <v>1.3558036455000118E-2</v>
      </c>
    </row>
    <row r="22" spans="1:10" x14ac:dyDescent="0.25">
      <c r="A22" s="9" t="s">
        <v>46</v>
      </c>
      <c r="B22" s="9" t="s">
        <v>10</v>
      </c>
      <c r="C22" s="9" t="s">
        <v>15</v>
      </c>
      <c r="D22" s="9" t="s">
        <v>19</v>
      </c>
      <c r="E22" s="10">
        <v>41818</v>
      </c>
      <c r="F22" s="12">
        <v>15942</v>
      </c>
      <c r="G22" s="12">
        <v>1901836</v>
      </c>
      <c r="H22" s="12">
        <v>714157</v>
      </c>
      <c r="I22" s="12">
        <f>SalesSummary[[#This Row],[Total Revenue]]-SalesSummary[[#This Row],[Total Profit]]</f>
        <v>1187679</v>
      </c>
      <c r="J22" s="14">
        <f>SalesSummary[[#This Row],[Total Profit]]/SalesSummary[[#This Row],[Total Revenue]]</f>
        <v>0.37550924475086178</v>
      </c>
    </row>
    <row r="23" spans="1:10" x14ac:dyDescent="0.25">
      <c r="A23" s="9" t="s">
        <v>47</v>
      </c>
      <c r="B23" s="9" t="s">
        <v>10</v>
      </c>
      <c r="C23" s="9" t="s">
        <v>15</v>
      </c>
      <c r="D23" s="9" t="s">
        <v>12</v>
      </c>
      <c r="E23" s="10">
        <v>42072</v>
      </c>
      <c r="F23" s="12">
        <v>15942</v>
      </c>
      <c r="G23" s="12">
        <v>32497144</v>
      </c>
      <c r="H23" s="12">
        <v>12202978</v>
      </c>
      <c r="I23" s="12">
        <f>SalesSummary[[#This Row],[Total Revenue]]-SalesSummary[[#This Row],[Total Profit]]</f>
        <v>20294166</v>
      </c>
      <c r="J23" s="14">
        <f>SalesSummary[[#This Row],[Total Profit]]/SalesSummary[[#This Row],[Total Revenue]]</f>
        <v>0.37550924475086178</v>
      </c>
    </row>
    <row r="24" spans="1:10" x14ac:dyDescent="0.25">
      <c r="A24" s="9" t="s">
        <v>36</v>
      </c>
      <c r="B24" s="9" t="s">
        <v>48</v>
      </c>
      <c r="C24" s="9" t="s">
        <v>15</v>
      </c>
      <c r="D24" s="9" t="s">
        <v>19</v>
      </c>
      <c r="E24" s="10">
        <v>42577</v>
      </c>
      <c r="F24" s="12">
        <v>9744</v>
      </c>
      <c r="G24" s="12">
        <v>3394905</v>
      </c>
      <c r="H24" s="12">
        <v>1226865</v>
      </c>
      <c r="I24" s="12">
        <f>SalesSummary[[#This Row],[Total Revenue]]-SalesSummary[[#This Row],[Total Profit]]</f>
        <v>2168040</v>
      </c>
      <c r="J24" s="14">
        <f>SalesSummary[[#This Row],[Total Profit]]/SalesSummary[[#This Row],[Total Revenue]]</f>
        <v>0.36138419189933152</v>
      </c>
    </row>
    <row r="25" spans="1:10" x14ac:dyDescent="0.25">
      <c r="A25" s="9" t="s">
        <v>49</v>
      </c>
      <c r="B25" s="9" t="s">
        <v>21</v>
      </c>
      <c r="C25" s="9" t="s">
        <v>15</v>
      </c>
      <c r="D25" s="9" t="s">
        <v>12</v>
      </c>
      <c r="E25" s="10">
        <v>41739</v>
      </c>
      <c r="F25" s="12">
        <v>692</v>
      </c>
      <c r="G25" s="12">
        <v>2040471</v>
      </c>
      <c r="H25" s="12">
        <v>527067</v>
      </c>
      <c r="I25" s="12">
        <f>SalesSummary[[#This Row],[Total Revenue]]-SalesSummary[[#This Row],[Total Profit]]</f>
        <v>1513404</v>
      </c>
      <c r="J25" s="14">
        <f>SalesSummary[[#This Row],[Total Profit]]/SalesSummary[[#This Row],[Total Revenue]]</f>
        <v>0.25830653804930331</v>
      </c>
    </row>
    <row r="26" spans="1:10" x14ac:dyDescent="0.25">
      <c r="A26" s="9" t="s">
        <v>50</v>
      </c>
      <c r="B26" s="9" t="s">
        <v>30</v>
      </c>
      <c r="C26" s="9" t="s">
        <v>15</v>
      </c>
      <c r="D26" s="9" t="s">
        <v>19</v>
      </c>
      <c r="E26" s="10">
        <v>42648</v>
      </c>
      <c r="F26" s="12">
        <v>5667</v>
      </c>
      <c r="G26" s="12">
        <v>4143711</v>
      </c>
      <c r="H26" s="12">
        <v>1270542</v>
      </c>
      <c r="I26" s="12">
        <f>SalesSummary[[#This Row],[Total Revenue]]-SalesSummary[[#This Row],[Total Profit]]</f>
        <v>2873169</v>
      </c>
      <c r="J26" s="14">
        <f>SalesSummary[[#This Row],[Total Profit]]/SalesSummary[[#This Row],[Total Revenue]]</f>
        <v>0.30661935641747218</v>
      </c>
    </row>
    <row r="27" spans="1:10" x14ac:dyDescent="0.25">
      <c r="A27" s="9" t="s">
        <v>51</v>
      </c>
      <c r="B27" s="9" t="s">
        <v>40</v>
      </c>
      <c r="C27" s="9" t="s">
        <v>15</v>
      </c>
      <c r="D27" s="9" t="s">
        <v>12</v>
      </c>
      <c r="E27" s="10">
        <v>42861</v>
      </c>
      <c r="F27" s="12">
        <v>26333</v>
      </c>
      <c r="G27" s="12">
        <v>79351800</v>
      </c>
      <c r="H27" s="12">
        <v>31557405</v>
      </c>
      <c r="I27" s="12">
        <f>SalesSummary[[#This Row],[Total Revenue]]-SalesSummary[[#This Row],[Total Profit]]</f>
        <v>47794395</v>
      </c>
      <c r="J27" s="14">
        <f>SalesSummary[[#This Row],[Total Profit]]/SalesSummary[[#This Row],[Total Revenue]]</f>
        <v>0.39768984446477584</v>
      </c>
    </row>
    <row r="28" spans="1:10" x14ac:dyDescent="0.25">
      <c r="A28" s="9" t="s">
        <v>52</v>
      </c>
      <c r="B28" s="9" t="s">
        <v>21</v>
      </c>
      <c r="C28" s="9" t="s">
        <v>15</v>
      </c>
      <c r="D28" s="9" t="s">
        <v>26</v>
      </c>
      <c r="E28" s="10">
        <v>41923</v>
      </c>
      <c r="F28" s="12">
        <v>692</v>
      </c>
      <c r="G28" s="12">
        <v>5036334</v>
      </c>
      <c r="H28" s="12">
        <v>1300918</v>
      </c>
      <c r="I28" s="12">
        <f>SalesSummary[[#This Row],[Total Revenue]]-SalesSummary[[#This Row],[Total Profit]]</f>
        <v>3735416</v>
      </c>
      <c r="J28" s="14">
        <f>SalesSummary[[#This Row],[Total Profit]]/SalesSummary[[#This Row],[Total Revenue]]</f>
        <v>0.25830653804930331</v>
      </c>
    </row>
    <row r="29" spans="1:10" x14ac:dyDescent="0.25">
      <c r="A29" s="9" t="s">
        <v>53</v>
      </c>
      <c r="B29" s="9" t="s">
        <v>21</v>
      </c>
      <c r="C29" s="9" t="s">
        <v>15</v>
      </c>
      <c r="D29" s="9" t="s">
        <v>19</v>
      </c>
      <c r="E29" s="10">
        <v>40456</v>
      </c>
      <c r="F29" s="12">
        <v>692</v>
      </c>
      <c r="G29" s="12">
        <v>5431926</v>
      </c>
      <c r="H29" s="12">
        <v>1403102</v>
      </c>
      <c r="I29" s="12">
        <f>SalesSummary[[#This Row],[Total Revenue]]-SalesSummary[[#This Row],[Total Profit]]</f>
        <v>4028824</v>
      </c>
      <c r="J29" s="14">
        <f>SalesSummary[[#This Row],[Total Profit]]/SalesSummary[[#This Row],[Total Revenue]]</f>
        <v>0.25830653804930331</v>
      </c>
    </row>
    <row r="30" spans="1:10" x14ac:dyDescent="0.25">
      <c r="A30" s="9" t="s">
        <v>46</v>
      </c>
      <c r="B30" s="9" t="s">
        <v>42</v>
      </c>
      <c r="C30" s="9" t="s">
        <v>11</v>
      </c>
      <c r="D30" s="9" t="s">
        <v>16</v>
      </c>
      <c r="E30" s="10">
        <v>41850</v>
      </c>
      <c r="F30" s="12">
        <v>3179</v>
      </c>
      <c r="G30" s="12">
        <v>24313380</v>
      </c>
      <c r="H30" s="12">
        <v>8024184</v>
      </c>
      <c r="I30" s="12">
        <f>SalesSummary[[#This Row],[Total Revenue]]-SalesSummary[[#This Row],[Total Profit]]</f>
        <v>16289196</v>
      </c>
      <c r="J30" s="14">
        <f>SalesSummary[[#This Row],[Total Profit]]/SalesSummary[[#This Row],[Total Revenue]]</f>
        <v>0.33003161222339306</v>
      </c>
    </row>
    <row r="31" spans="1:10" x14ac:dyDescent="0.25">
      <c r="A31" s="9" t="s">
        <v>54</v>
      </c>
      <c r="B31" s="9" t="s">
        <v>25</v>
      </c>
      <c r="C31" s="9" t="s">
        <v>11</v>
      </c>
      <c r="D31" s="9" t="s">
        <v>19</v>
      </c>
      <c r="E31" s="10">
        <v>41158</v>
      </c>
      <c r="F31" s="12">
        <v>50254</v>
      </c>
      <c r="G31" s="12">
        <v>15837999</v>
      </c>
      <c r="H31" s="12">
        <v>3927801</v>
      </c>
      <c r="I31" s="12">
        <f>SalesSummary[[#This Row],[Total Revenue]]-SalesSummary[[#This Row],[Total Profit]]</f>
        <v>11910198</v>
      </c>
      <c r="J31" s="14">
        <f>SalesSummary[[#This Row],[Total Profit]]/SalesSummary[[#This Row],[Total Revenue]]</f>
        <v>0.24799856345489099</v>
      </c>
    </row>
    <row r="32" spans="1:10" x14ac:dyDescent="0.25">
      <c r="A32" s="9" t="s">
        <v>55</v>
      </c>
      <c r="B32" s="9" t="s">
        <v>40</v>
      </c>
      <c r="C32" s="9" t="s">
        <v>11</v>
      </c>
      <c r="D32" s="9" t="s">
        <v>26</v>
      </c>
      <c r="E32" s="10">
        <v>41202</v>
      </c>
      <c r="F32" s="12">
        <v>26333</v>
      </c>
      <c r="G32" s="12">
        <v>370865892</v>
      </c>
      <c r="H32" s="12">
        <v>150588807</v>
      </c>
      <c r="I32" s="12">
        <f>SalesSummary[[#This Row],[Total Revenue]]-SalesSummary[[#This Row],[Total Profit]]</f>
        <v>220277085</v>
      </c>
      <c r="J32" s="14">
        <f>SalesSummary[[#This Row],[Total Profit]]/SalesSummary[[#This Row],[Total Revenue]]</f>
        <v>0.40604652584228479</v>
      </c>
    </row>
    <row r="33" spans="1:10" x14ac:dyDescent="0.25">
      <c r="A33" s="9" t="s">
        <v>56</v>
      </c>
      <c r="B33" s="9" t="s">
        <v>30</v>
      </c>
      <c r="C33" s="9" t="s">
        <v>11</v>
      </c>
      <c r="D33" s="9" t="s">
        <v>16</v>
      </c>
      <c r="E33" s="10">
        <v>41667</v>
      </c>
      <c r="F33" s="12">
        <v>5667</v>
      </c>
      <c r="G33" s="12">
        <v>17367625</v>
      </c>
      <c r="H33" s="12">
        <v>532525</v>
      </c>
      <c r="I33" s="12">
        <f>SalesSummary[[#This Row],[Total Revenue]]-SalesSummary[[#This Row],[Total Profit]]</f>
        <v>16835100</v>
      </c>
      <c r="J33" s="14">
        <f>SalesSummary[[#This Row],[Total Profit]]/SalesSummary[[#This Row],[Total Revenue]]</f>
        <v>3.0661935641747216E-2</v>
      </c>
    </row>
    <row r="34" spans="1:10" x14ac:dyDescent="0.25">
      <c r="A34" s="9" t="s">
        <v>57</v>
      </c>
      <c r="B34" s="9" t="s">
        <v>18</v>
      </c>
      <c r="C34" s="9" t="s">
        <v>15</v>
      </c>
      <c r="D34" s="9" t="s">
        <v>16</v>
      </c>
      <c r="E34" s="10">
        <v>42333</v>
      </c>
      <c r="F34" s="12">
        <v>52496</v>
      </c>
      <c r="G34" s="12">
        <v>190413804</v>
      </c>
      <c r="H34" s="12">
        <v>369155</v>
      </c>
      <c r="I34" s="12">
        <f>SalesSummary[[#This Row],[Total Revenue]]-SalesSummary[[#This Row],[Total Profit]]</f>
        <v>190044649</v>
      </c>
      <c r="J34" s="14">
        <f>SalesSummary[[#This Row],[Total Profit]]/SalesSummary[[#This Row],[Total Revenue]]</f>
        <v>1.9386987300563567E-3</v>
      </c>
    </row>
    <row r="35" spans="1:10" x14ac:dyDescent="0.25">
      <c r="A35" s="9" t="s">
        <v>58</v>
      </c>
      <c r="B35" s="9" t="s">
        <v>25</v>
      </c>
      <c r="C35" s="9" t="s">
        <v>11</v>
      </c>
      <c r="D35" s="9" t="s">
        <v>12</v>
      </c>
      <c r="E35" s="10">
        <v>42007</v>
      </c>
      <c r="F35" s="12">
        <v>50254</v>
      </c>
      <c r="G35" s="12">
        <v>55132275</v>
      </c>
      <c r="H35" s="12">
        <v>13672725</v>
      </c>
      <c r="I35" s="12">
        <f>SalesSummary[[#This Row],[Total Revenue]]-SalesSummary[[#This Row],[Total Profit]]</f>
        <v>41459550</v>
      </c>
      <c r="J35" s="14">
        <f>SalesSummary[[#This Row],[Total Profit]]/SalesSummary[[#This Row],[Total Revenue]]</f>
        <v>0.24799856345489099</v>
      </c>
    </row>
    <row r="36" spans="1:10" x14ac:dyDescent="0.25">
      <c r="A36" s="9" t="s">
        <v>59</v>
      </c>
      <c r="B36" s="9" t="s">
        <v>48</v>
      </c>
      <c r="C36" s="9" t="s">
        <v>15</v>
      </c>
      <c r="D36" s="9" t="s">
        <v>26</v>
      </c>
      <c r="E36" s="10">
        <v>42791</v>
      </c>
      <c r="F36" s="12">
        <v>9744</v>
      </c>
      <c r="G36" s="12">
        <v>111795366</v>
      </c>
      <c r="H36" s="12">
        <v>40401078</v>
      </c>
      <c r="I36" s="12">
        <f>SalesSummary[[#This Row],[Total Revenue]]-SalesSummary[[#This Row],[Total Profit]]</f>
        <v>71394288</v>
      </c>
      <c r="J36" s="14">
        <f>SalesSummary[[#This Row],[Total Profit]]/SalesSummary[[#This Row],[Total Revenue]]</f>
        <v>0.36138419189933152</v>
      </c>
    </row>
    <row r="37" spans="1:10" x14ac:dyDescent="0.25">
      <c r="A37" s="9" t="s">
        <v>60</v>
      </c>
      <c r="B37" s="9" t="s">
        <v>30</v>
      </c>
      <c r="C37" s="9" t="s">
        <v>11</v>
      </c>
      <c r="D37" s="9" t="s">
        <v>19</v>
      </c>
      <c r="E37" s="10">
        <v>42876</v>
      </c>
      <c r="F37" s="12">
        <v>5667</v>
      </c>
      <c r="G37" s="12">
        <v>52380757</v>
      </c>
      <c r="H37" s="12">
        <v>16060954</v>
      </c>
      <c r="I37" s="12">
        <f>SalesSummary[[#This Row],[Total Revenue]]-SalesSummary[[#This Row],[Total Profit]]</f>
        <v>36319803</v>
      </c>
      <c r="J37" s="14">
        <f>SalesSummary[[#This Row],[Total Profit]]/SalesSummary[[#This Row],[Total Revenue]]</f>
        <v>0.30661935641747218</v>
      </c>
    </row>
    <row r="38" spans="1:10" x14ac:dyDescent="0.25">
      <c r="A38" s="9" t="s">
        <v>61</v>
      </c>
      <c r="B38" s="9" t="s">
        <v>21</v>
      </c>
      <c r="C38" s="9" t="s">
        <v>15</v>
      </c>
      <c r="D38" s="9" t="s">
        <v>19</v>
      </c>
      <c r="E38" s="10">
        <v>40614</v>
      </c>
      <c r="F38" s="12">
        <v>692</v>
      </c>
      <c r="G38" s="12">
        <v>3530472</v>
      </c>
      <c r="H38" s="12">
        <v>911944</v>
      </c>
      <c r="I38" s="12">
        <f>SalesSummary[[#This Row],[Total Revenue]]-SalesSummary[[#This Row],[Total Profit]]</f>
        <v>2618528</v>
      </c>
      <c r="J38" s="14">
        <f>SalesSummary[[#This Row],[Total Profit]]/SalesSummary[[#This Row],[Total Revenue]]</f>
        <v>0.25830653804930331</v>
      </c>
    </row>
    <row r="39" spans="1:10" x14ac:dyDescent="0.25">
      <c r="A39" s="9" t="s">
        <v>54</v>
      </c>
      <c r="B39" s="9" t="s">
        <v>45</v>
      </c>
      <c r="C39" s="9" t="s">
        <v>15</v>
      </c>
      <c r="D39" s="9" t="s">
        <v>26</v>
      </c>
      <c r="E39" s="10">
        <v>42758</v>
      </c>
      <c r="F39" s="12">
        <v>36469</v>
      </c>
      <c r="G39" s="12">
        <v>201114963</v>
      </c>
      <c r="H39" s="12">
        <v>2726724</v>
      </c>
      <c r="I39" s="12">
        <f>SalesSummary[[#This Row],[Total Revenue]]-SalesSummary[[#This Row],[Total Profit]]</f>
        <v>198388239</v>
      </c>
      <c r="J39" s="14">
        <f>SalesSummary[[#This Row],[Total Profit]]/SalesSummary[[#This Row],[Total Revenue]]</f>
        <v>1.3558036455000118E-2</v>
      </c>
    </row>
    <row r="40" spans="1:10" x14ac:dyDescent="0.25">
      <c r="A40" s="9" t="s">
        <v>62</v>
      </c>
      <c r="B40" s="9" t="s">
        <v>18</v>
      </c>
      <c r="C40" s="9" t="s">
        <v>15</v>
      </c>
      <c r="D40" s="9" t="s">
        <v>19</v>
      </c>
      <c r="E40" s="10">
        <v>41126</v>
      </c>
      <c r="F40" s="12">
        <v>52496</v>
      </c>
      <c r="G40" s="12">
        <v>436831668</v>
      </c>
      <c r="H40" s="12">
        <v>846885</v>
      </c>
      <c r="I40" s="12">
        <f>SalesSummary[[#This Row],[Total Revenue]]-SalesSummary[[#This Row],[Total Profit]]</f>
        <v>435984783</v>
      </c>
      <c r="J40" s="14">
        <f>SalesSummary[[#This Row],[Total Profit]]/SalesSummary[[#This Row],[Total Revenue]]</f>
        <v>1.9386987300563567E-3</v>
      </c>
    </row>
    <row r="41" spans="1:10" x14ac:dyDescent="0.25">
      <c r="A41" s="9" t="s">
        <v>38</v>
      </c>
      <c r="B41" s="9" t="s">
        <v>18</v>
      </c>
      <c r="C41" s="9" t="s">
        <v>15</v>
      </c>
      <c r="D41" s="9" t="s">
        <v>26</v>
      </c>
      <c r="E41" s="10">
        <v>40967</v>
      </c>
      <c r="F41" s="12">
        <v>52496</v>
      </c>
      <c r="G41" s="12">
        <v>259637427</v>
      </c>
      <c r="H41" s="12">
        <v>50335875</v>
      </c>
      <c r="I41" s="12">
        <f>SalesSummary[[#This Row],[Total Revenue]]-SalesSummary[[#This Row],[Total Profit]]</f>
        <v>209301552</v>
      </c>
      <c r="J41" s="14">
        <f>SalesSummary[[#This Row],[Total Profit]]/SalesSummary[[#This Row],[Total Revenue]]</f>
        <v>0.19386987300563566</v>
      </c>
    </row>
    <row r="42" spans="1:10" x14ac:dyDescent="0.25">
      <c r="A42" s="9" t="s">
        <v>63</v>
      </c>
      <c r="B42" s="9" t="s">
        <v>30</v>
      </c>
      <c r="C42" s="9" t="s">
        <v>15</v>
      </c>
      <c r="D42" s="9" t="s">
        <v>12</v>
      </c>
      <c r="E42" s="10">
        <v>42822</v>
      </c>
      <c r="F42" s="12">
        <v>5667</v>
      </c>
      <c r="G42" s="12">
        <v>24641595</v>
      </c>
      <c r="H42" s="12">
        <v>755559</v>
      </c>
      <c r="I42" s="12">
        <f>SalesSummary[[#This Row],[Total Revenue]]-SalesSummary[[#This Row],[Total Profit]]</f>
        <v>23886036</v>
      </c>
      <c r="J42" s="14">
        <f>SalesSummary[[#This Row],[Total Profit]]/SalesSummary[[#This Row],[Total Revenue]]</f>
        <v>3.0661935641747216E-2</v>
      </c>
    </row>
    <row r="43" spans="1:10" x14ac:dyDescent="0.25">
      <c r="A43" s="9" t="s">
        <v>64</v>
      </c>
      <c r="B43" s="9" t="s">
        <v>40</v>
      </c>
      <c r="C43" s="9" t="s">
        <v>15</v>
      </c>
      <c r="D43" s="9" t="s">
        <v>26</v>
      </c>
      <c r="E43" s="10">
        <v>40234</v>
      </c>
      <c r="F43" s="12">
        <v>26333</v>
      </c>
      <c r="G43" s="12">
        <v>316027048</v>
      </c>
      <c r="H43" s="12">
        <v>125777558</v>
      </c>
      <c r="I43" s="12">
        <f>SalesSummary[[#This Row],[Total Revenue]]-SalesSummary[[#This Row],[Total Profit]]</f>
        <v>190249490</v>
      </c>
      <c r="J43" s="14">
        <f>SalesSummary[[#This Row],[Total Profit]]/SalesSummary[[#This Row],[Total Revenue]]</f>
        <v>0.39799618037757323</v>
      </c>
    </row>
    <row r="44" spans="1:10" x14ac:dyDescent="0.25">
      <c r="A44" s="9" t="s">
        <v>54</v>
      </c>
      <c r="B44" s="9" t="s">
        <v>14</v>
      </c>
      <c r="C44" s="9" t="s">
        <v>11</v>
      </c>
      <c r="D44" s="9" t="s">
        <v>12</v>
      </c>
      <c r="E44" s="10">
        <v>41127</v>
      </c>
      <c r="F44" s="12">
        <v>11711</v>
      </c>
      <c r="G44" s="12">
        <v>43054669</v>
      </c>
      <c r="H44" s="12">
        <v>18754503</v>
      </c>
      <c r="I44" s="12">
        <f>SalesSummary[[#This Row],[Total Revenue]]-SalesSummary[[#This Row],[Total Profit]]</f>
        <v>24300166</v>
      </c>
      <c r="J44" s="14">
        <f>SalesSummary[[#This Row],[Total Profit]]/SalesSummary[[#This Row],[Total Revenue]]</f>
        <v>0.43559742614674379</v>
      </c>
    </row>
    <row r="45" spans="1:10" x14ac:dyDescent="0.25">
      <c r="A45" s="9" t="s">
        <v>65</v>
      </c>
      <c r="B45" s="9" t="s">
        <v>28</v>
      </c>
      <c r="C45" s="9" t="s">
        <v>15</v>
      </c>
      <c r="D45" s="9" t="s">
        <v>12</v>
      </c>
      <c r="E45" s="10">
        <v>41193</v>
      </c>
      <c r="F45" s="12">
        <v>9093</v>
      </c>
      <c r="G45" s="12">
        <v>2634426</v>
      </c>
      <c r="H45" s="12">
        <v>1079523</v>
      </c>
      <c r="I45" s="12">
        <f>SalesSummary[[#This Row],[Total Revenue]]-SalesSummary[[#This Row],[Total Profit]]</f>
        <v>1554903</v>
      </c>
      <c r="J45" s="14">
        <f>SalesSummary[[#This Row],[Total Profit]]/SalesSummary[[#This Row],[Total Revenue]]</f>
        <v>0.40977541217707386</v>
      </c>
    </row>
    <row r="46" spans="1:10" x14ac:dyDescent="0.25">
      <c r="A46" s="9" t="s">
        <v>58</v>
      </c>
      <c r="B46" s="9" t="s">
        <v>34</v>
      </c>
      <c r="C46" s="9" t="s">
        <v>15</v>
      </c>
      <c r="D46" s="9" t="s">
        <v>12</v>
      </c>
      <c r="E46" s="10">
        <v>42326</v>
      </c>
      <c r="F46" s="12">
        <v>3584</v>
      </c>
      <c r="G46" s="12">
        <v>6480304</v>
      </c>
      <c r="H46" s="12">
        <v>4354992</v>
      </c>
      <c r="I46" s="12">
        <f>SalesSummary[[#This Row],[Total Revenue]]-SalesSummary[[#This Row],[Total Profit]]</f>
        <v>2125312</v>
      </c>
      <c r="J46" s="14">
        <f>SalesSummary[[#This Row],[Total Profit]]/SalesSummary[[#This Row],[Total Revenue]]</f>
        <v>0.67203513909224011</v>
      </c>
    </row>
    <row r="47" spans="1:10" x14ac:dyDescent="0.25">
      <c r="A47" s="9" t="s">
        <v>66</v>
      </c>
      <c r="B47" s="9" t="s">
        <v>14</v>
      </c>
      <c r="C47" s="9" t="s">
        <v>11</v>
      </c>
      <c r="D47" s="9" t="s">
        <v>12</v>
      </c>
      <c r="E47" s="10">
        <v>42489</v>
      </c>
      <c r="F47" s="12">
        <v>11711</v>
      </c>
      <c r="G47" s="12">
        <v>19780834</v>
      </c>
      <c r="H47" s="12">
        <v>8522358</v>
      </c>
      <c r="I47" s="12">
        <f>SalesSummary[[#This Row],[Total Revenue]]-SalesSummary[[#This Row],[Total Profit]]</f>
        <v>11258476</v>
      </c>
      <c r="J47" s="14">
        <f>SalesSummary[[#This Row],[Total Profit]]/SalesSummary[[#This Row],[Total Revenue]]</f>
        <v>0.4308391648198453</v>
      </c>
    </row>
    <row r="48" spans="1:10" x14ac:dyDescent="0.25">
      <c r="A48" s="9" t="s">
        <v>67</v>
      </c>
      <c r="B48" s="9" t="s">
        <v>40</v>
      </c>
      <c r="C48" s="9" t="s">
        <v>15</v>
      </c>
      <c r="D48" s="9" t="s">
        <v>16</v>
      </c>
      <c r="E48" s="10">
        <v>42735</v>
      </c>
      <c r="F48" s="12">
        <v>26333</v>
      </c>
      <c r="G48" s="12">
        <v>387066524</v>
      </c>
      <c r="H48" s="12">
        <v>154170529</v>
      </c>
      <c r="I48" s="12">
        <f>SalesSummary[[#This Row],[Total Revenue]]-SalesSummary[[#This Row],[Total Profit]]</f>
        <v>232895995</v>
      </c>
      <c r="J48" s="14">
        <f>SalesSummary[[#This Row],[Total Profit]]/SalesSummary[[#This Row],[Total Revenue]]</f>
        <v>0.39830499265805791</v>
      </c>
    </row>
    <row r="49" spans="1:10" x14ac:dyDescent="0.25">
      <c r="A49" s="9" t="s">
        <v>55</v>
      </c>
      <c r="B49" s="9" t="s">
        <v>30</v>
      </c>
      <c r="C49" s="9" t="s">
        <v>15</v>
      </c>
      <c r="D49" s="9" t="s">
        <v>26</v>
      </c>
      <c r="E49" s="10">
        <v>40574</v>
      </c>
      <c r="F49" s="12">
        <v>5667</v>
      </c>
      <c r="G49" s="12">
        <v>2231229</v>
      </c>
      <c r="H49" s="12">
        <v>684138</v>
      </c>
      <c r="I49" s="12">
        <f>SalesSummary[[#This Row],[Total Revenue]]-SalesSummary[[#This Row],[Total Profit]]</f>
        <v>1547091</v>
      </c>
      <c r="J49" s="14">
        <f>SalesSummary[[#This Row],[Total Profit]]/SalesSummary[[#This Row],[Total Revenue]]</f>
        <v>0.30661935641747218</v>
      </c>
    </row>
    <row r="50" spans="1:10" x14ac:dyDescent="0.25">
      <c r="A50" s="9" t="s">
        <v>68</v>
      </c>
      <c r="B50" s="9" t="s">
        <v>34</v>
      </c>
      <c r="C50" s="9" t="s">
        <v>11</v>
      </c>
      <c r="D50" s="9" t="s">
        <v>16</v>
      </c>
      <c r="E50" s="10">
        <v>41957</v>
      </c>
      <c r="F50" s="12">
        <v>3584</v>
      </c>
      <c r="G50" s="12">
        <v>85697376</v>
      </c>
      <c r="H50" s="12">
        <v>57591648</v>
      </c>
      <c r="I50" s="12">
        <f>SalesSummary[[#This Row],[Total Revenue]]-SalesSummary[[#This Row],[Total Profit]]</f>
        <v>28105728</v>
      </c>
      <c r="J50" s="14">
        <f>SalesSummary[[#This Row],[Total Profit]]/SalesSummary[[#This Row],[Total Revenue]]</f>
        <v>0.67203513909224011</v>
      </c>
    </row>
    <row r="51" spans="1:10" x14ac:dyDescent="0.25">
      <c r="A51" s="9" t="s">
        <v>69</v>
      </c>
      <c r="B51" s="9" t="s">
        <v>18</v>
      </c>
      <c r="C51" s="9" t="s">
        <v>11</v>
      </c>
      <c r="D51" s="9" t="s">
        <v>16</v>
      </c>
      <c r="E51" s="10">
        <v>40921</v>
      </c>
      <c r="F51" s="12">
        <v>52496</v>
      </c>
      <c r="G51" s="12">
        <v>82443186</v>
      </c>
      <c r="H51" s="12">
        <v>1598325</v>
      </c>
      <c r="I51" s="12">
        <f>SalesSummary[[#This Row],[Total Revenue]]-SalesSummary[[#This Row],[Total Profit]]</f>
        <v>80844861</v>
      </c>
      <c r="J51" s="14">
        <f>SalesSummary[[#This Row],[Total Profit]]/SalesSummary[[#This Row],[Total Revenue]]</f>
        <v>1.9386987300563565E-2</v>
      </c>
    </row>
    <row r="52" spans="1:10" x14ac:dyDescent="0.25">
      <c r="A52" s="9" t="s">
        <v>70</v>
      </c>
      <c r="B52" s="9" t="s">
        <v>34</v>
      </c>
      <c r="C52" s="9" t="s">
        <v>15</v>
      </c>
      <c r="D52" s="9" t="s">
        <v>16</v>
      </c>
      <c r="E52" s="10">
        <v>40255</v>
      </c>
      <c r="F52" s="12">
        <v>3584</v>
      </c>
      <c r="G52" s="12">
        <v>24795632</v>
      </c>
      <c r="H52" s="12">
        <v>16663536</v>
      </c>
      <c r="I52" s="12">
        <f>SalesSummary[[#This Row],[Total Revenue]]-SalesSummary[[#This Row],[Total Profit]]</f>
        <v>8132096</v>
      </c>
      <c r="J52" s="14">
        <f>SalesSummary[[#This Row],[Total Profit]]/SalesSummary[[#This Row],[Total Revenue]]</f>
        <v>0.67203513909224011</v>
      </c>
    </row>
    <row r="53" spans="1:10" x14ac:dyDescent="0.25">
      <c r="A53" s="9" t="s">
        <v>71</v>
      </c>
      <c r="B53" s="9" t="s">
        <v>21</v>
      </c>
      <c r="C53" s="9" t="s">
        <v>15</v>
      </c>
      <c r="D53" s="9" t="s">
        <v>19</v>
      </c>
      <c r="E53" s="10">
        <v>41535</v>
      </c>
      <c r="F53" s="12">
        <v>692</v>
      </c>
      <c r="G53" s="12">
        <v>8962398</v>
      </c>
      <c r="H53" s="12">
        <v>2315046</v>
      </c>
      <c r="I53" s="12">
        <f>SalesSummary[[#This Row],[Total Revenue]]-SalesSummary[[#This Row],[Total Profit]]</f>
        <v>6647352</v>
      </c>
      <c r="J53" s="14">
        <f>SalesSummary[[#This Row],[Total Profit]]/SalesSummary[[#This Row],[Total Revenue]]</f>
        <v>0.25830653804930331</v>
      </c>
    </row>
    <row r="54" spans="1:10" x14ac:dyDescent="0.25">
      <c r="A54" s="9" t="s">
        <v>72</v>
      </c>
      <c r="B54" s="9" t="s">
        <v>14</v>
      </c>
      <c r="C54" s="9" t="s">
        <v>15</v>
      </c>
      <c r="D54" s="9" t="s">
        <v>26</v>
      </c>
      <c r="E54" s="10">
        <v>41361</v>
      </c>
      <c r="F54" s="12">
        <v>11711</v>
      </c>
      <c r="G54" s="12">
        <v>80357591</v>
      </c>
      <c r="H54" s="12">
        <v>35994117</v>
      </c>
      <c r="I54" s="12">
        <f>SalesSummary[[#This Row],[Total Revenue]]-SalesSummary[[#This Row],[Total Profit]]</f>
        <v>44363474</v>
      </c>
      <c r="J54" s="14">
        <f>SalesSummary[[#This Row],[Total Profit]]/SalesSummary[[#This Row],[Total Revenue]]</f>
        <v>0.44792429130933009</v>
      </c>
    </row>
    <row r="55" spans="1:10" x14ac:dyDescent="0.25">
      <c r="A55" s="9" t="s">
        <v>73</v>
      </c>
      <c r="B55" s="9" t="s">
        <v>18</v>
      </c>
      <c r="C55" s="9" t="s">
        <v>11</v>
      </c>
      <c r="D55" s="9" t="s">
        <v>26</v>
      </c>
      <c r="E55" s="10">
        <v>41091</v>
      </c>
      <c r="F55" s="12">
        <v>52496</v>
      </c>
      <c r="G55" s="12">
        <v>225123297</v>
      </c>
      <c r="H55" s="12">
        <v>43644625</v>
      </c>
      <c r="I55" s="12">
        <f>SalesSummary[[#This Row],[Total Revenue]]-SalesSummary[[#This Row],[Total Profit]]</f>
        <v>181478672</v>
      </c>
      <c r="J55" s="14">
        <f>SalesSummary[[#This Row],[Total Profit]]/SalesSummary[[#This Row],[Total Revenue]]</f>
        <v>0.19386987300563566</v>
      </c>
    </row>
    <row r="56" spans="1:10" x14ac:dyDescent="0.25">
      <c r="A56" s="9" t="s">
        <v>20</v>
      </c>
      <c r="B56" s="9" t="s">
        <v>21</v>
      </c>
      <c r="C56" s="9" t="s">
        <v>11</v>
      </c>
      <c r="D56" s="9" t="s">
        <v>12</v>
      </c>
      <c r="E56" s="10">
        <v>41571</v>
      </c>
      <c r="F56" s="12">
        <v>692</v>
      </c>
      <c r="G56" s="12">
        <v>7125321</v>
      </c>
      <c r="H56" s="12">
        <v>1840517</v>
      </c>
      <c r="I56" s="12">
        <f>SalesSummary[[#This Row],[Total Revenue]]-SalesSummary[[#This Row],[Total Profit]]</f>
        <v>5284804</v>
      </c>
      <c r="J56" s="14">
        <f>SalesSummary[[#This Row],[Total Profit]]/SalesSummary[[#This Row],[Total Revenue]]</f>
        <v>0.25830653804930331</v>
      </c>
    </row>
    <row r="57" spans="1:10" x14ac:dyDescent="0.25">
      <c r="A57" s="9" t="s">
        <v>74</v>
      </c>
      <c r="B57" s="9" t="s">
        <v>34</v>
      </c>
      <c r="C57" s="9" t="s">
        <v>15</v>
      </c>
      <c r="D57" s="9" t="s">
        <v>16</v>
      </c>
      <c r="E57" s="10">
        <v>41087</v>
      </c>
      <c r="F57" s="12">
        <v>3584</v>
      </c>
      <c r="G57" s="12">
        <v>38051296</v>
      </c>
      <c r="H57" s="12">
        <v>25571808</v>
      </c>
      <c r="I57" s="12">
        <f>SalesSummary[[#This Row],[Total Revenue]]-SalesSummary[[#This Row],[Total Profit]]</f>
        <v>12479488</v>
      </c>
      <c r="J57" s="14">
        <f>SalesSummary[[#This Row],[Total Profit]]/SalesSummary[[#This Row],[Total Revenue]]</f>
        <v>0.67203513909224011</v>
      </c>
    </row>
    <row r="58" spans="1:10" x14ac:dyDescent="0.25">
      <c r="A58" s="9" t="s">
        <v>75</v>
      </c>
      <c r="B58" s="9" t="s">
        <v>34</v>
      </c>
      <c r="C58" s="9" t="s">
        <v>11</v>
      </c>
      <c r="D58" s="9" t="s">
        <v>16</v>
      </c>
      <c r="E58" s="10">
        <v>40186</v>
      </c>
      <c r="F58" s="12">
        <v>3584</v>
      </c>
      <c r="G58" s="12">
        <v>10824184</v>
      </c>
      <c r="H58" s="12">
        <v>7274232</v>
      </c>
      <c r="I58" s="12">
        <f>SalesSummary[[#This Row],[Total Revenue]]-SalesSummary[[#This Row],[Total Profit]]</f>
        <v>3549952</v>
      </c>
      <c r="J58" s="14">
        <f>SalesSummary[[#This Row],[Total Profit]]/SalesSummary[[#This Row],[Total Revenue]]</f>
        <v>0.67203513909224011</v>
      </c>
    </row>
    <row r="59" spans="1:10" x14ac:dyDescent="0.25">
      <c r="A59" s="9" t="s">
        <v>76</v>
      </c>
      <c r="B59" s="9" t="s">
        <v>40</v>
      </c>
      <c r="C59" s="9" t="s">
        <v>11</v>
      </c>
      <c r="D59" s="9" t="s">
        <v>12</v>
      </c>
      <c r="E59" s="10">
        <v>42038</v>
      </c>
      <c r="F59" s="12">
        <v>26333</v>
      </c>
      <c r="G59" s="12">
        <v>124047084</v>
      </c>
      <c r="H59" s="12">
        <v>49500789</v>
      </c>
      <c r="I59" s="12">
        <f>SalesSummary[[#This Row],[Total Revenue]]-SalesSummary[[#This Row],[Total Profit]]</f>
        <v>74546295</v>
      </c>
      <c r="J59" s="14">
        <f>SalesSummary[[#This Row],[Total Profit]]/SalesSummary[[#This Row],[Total Revenue]]</f>
        <v>0.39904838875535359</v>
      </c>
    </row>
    <row r="60" spans="1:10" x14ac:dyDescent="0.25">
      <c r="A60" s="9" t="s">
        <v>77</v>
      </c>
      <c r="B60" s="9" t="s">
        <v>25</v>
      </c>
      <c r="C60" s="9" t="s">
        <v>15</v>
      </c>
      <c r="D60" s="9" t="s">
        <v>19</v>
      </c>
      <c r="E60" s="10">
        <v>40953</v>
      </c>
      <c r="F60" s="12">
        <v>50254</v>
      </c>
      <c r="G60" s="12">
        <v>18845214</v>
      </c>
      <c r="H60" s="12">
        <v>4673586</v>
      </c>
      <c r="I60" s="12">
        <f>SalesSummary[[#This Row],[Total Revenue]]-SalesSummary[[#This Row],[Total Profit]]</f>
        <v>14171628</v>
      </c>
      <c r="J60" s="14">
        <f>SalesSummary[[#This Row],[Total Profit]]/SalesSummary[[#This Row],[Total Revenue]]</f>
        <v>0.24799856345489099</v>
      </c>
    </row>
    <row r="61" spans="1:10" x14ac:dyDescent="0.25">
      <c r="A61" s="9" t="s">
        <v>59</v>
      </c>
      <c r="B61" s="9" t="s">
        <v>40</v>
      </c>
      <c r="C61" s="9" t="s">
        <v>11</v>
      </c>
      <c r="D61" s="9" t="s">
        <v>12</v>
      </c>
      <c r="E61" s="10">
        <v>41748</v>
      </c>
      <c r="F61" s="12">
        <v>26333</v>
      </c>
      <c r="G61" s="12">
        <v>310054398</v>
      </c>
      <c r="H61" s="12">
        <v>125447205</v>
      </c>
      <c r="I61" s="12">
        <f>SalesSummary[[#This Row],[Total Revenue]]-SalesSummary[[#This Row],[Total Profit]]</f>
        <v>184607193</v>
      </c>
      <c r="J61" s="14">
        <f>SalesSummary[[#This Row],[Total Profit]]/SalesSummary[[#This Row],[Total Revenue]]</f>
        <v>0.40459740551720863</v>
      </c>
    </row>
    <row r="62" spans="1:10" x14ac:dyDescent="0.25">
      <c r="A62" s="9" t="s">
        <v>57</v>
      </c>
      <c r="B62" s="9" t="s">
        <v>14</v>
      </c>
      <c r="C62" s="9" t="s">
        <v>11</v>
      </c>
      <c r="D62" s="9" t="s">
        <v>12</v>
      </c>
      <c r="E62" s="10">
        <v>41312</v>
      </c>
      <c r="F62" s="12">
        <v>11711</v>
      </c>
      <c r="G62" s="12">
        <v>10402874</v>
      </c>
      <c r="H62" s="12">
        <v>6041838</v>
      </c>
      <c r="I62" s="12">
        <f>SalesSummary[[#This Row],[Total Revenue]]-SalesSummary[[#This Row],[Total Profit]]</f>
        <v>4361036</v>
      </c>
      <c r="J62" s="14">
        <f>SalesSummary[[#This Row],[Total Profit]]/SalesSummary[[#This Row],[Total Revenue]]</f>
        <v>0.58078546370935569</v>
      </c>
    </row>
    <row r="63" spans="1:10" x14ac:dyDescent="0.25">
      <c r="A63" s="9" t="s">
        <v>78</v>
      </c>
      <c r="B63" s="9" t="s">
        <v>10</v>
      </c>
      <c r="C63" s="9" t="s">
        <v>15</v>
      </c>
      <c r="D63" s="9" t="s">
        <v>19</v>
      </c>
      <c r="E63" s="10">
        <v>41281</v>
      </c>
      <c r="F63" s="12">
        <v>15942</v>
      </c>
      <c r="G63" s="12">
        <v>1212580</v>
      </c>
      <c r="H63" s="12">
        <v>455335</v>
      </c>
      <c r="I63" s="12">
        <f>SalesSummary[[#This Row],[Total Revenue]]-SalesSummary[[#This Row],[Total Profit]]</f>
        <v>757245</v>
      </c>
      <c r="J63" s="14">
        <f>SalesSummary[[#This Row],[Total Profit]]/SalesSummary[[#This Row],[Total Revenue]]</f>
        <v>0.37550924475086178</v>
      </c>
    </row>
    <row r="64" spans="1:10" x14ac:dyDescent="0.25">
      <c r="A64" s="9" t="s">
        <v>41</v>
      </c>
      <c r="B64" s="9" t="s">
        <v>18</v>
      </c>
      <c r="C64" s="9" t="s">
        <v>15</v>
      </c>
      <c r="D64" s="9" t="s">
        <v>26</v>
      </c>
      <c r="E64" s="10">
        <v>40862</v>
      </c>
      <c r="F64" s="12">
        <v>52496</v>
      </c>
      <c r="G64" s="12">
        <v>359337678</v>
      </c>
      <c r="H64" s="12">
        <v>6966475</v>
      </c>
      <c r="I64" s="12">
        <f>SalesSummary[[#This Row],[Total Revenue]]-SalesSummary[[#This Row],[Total Profit]]</f>
        <v>352371203</v>
      </c>
      <c r="J64" s="14">
        <f>SalesSummary[[#This Row],[Total Profit]]/SalesSummary[[#This Row],[Total Revenue]]</f>
        <v>1.9386987300563565E-2</v>
      </c>
    </row>
    <row r="65" spans="1:10" x14ac:dyDescent="0.25">
      <c r="A65" s="9" t="s">
        <v>79</v>
      </c>
      <c r="B65" s="9" t="s">
        <v>34</v>
      </c>
      <c r="C65" s="9" t="s">
        <v>11</v>
      </c>
      <c r="D65" s="9" t="s">
        <v>12</v>
      </c>
      <c r="E65" s="10">
        <v>40499</v>
      </c>
      <c r="F65" s="12">
        <v>3584</v>
      </c>
      <c r="G65" s="12">
        <v>66835648</v>
      </c>
      <c r="H65" s="12">
        <v>44915904</v>
      </c>
      <c r="I65" s="12">
        <f>SalesSummary[[#This Row],[Total Revenue]]-SalesSummary[[#This Row],[Total Profit]]</f>
        <v>21919744</v>
      </c>
      <c r="J65" s="14">
        <f>SalesSummary[[#This Row],[Total Profit]]/SalesSummary[[#This Row],[Total Revenue]]</f>
        <v>0.67203513909224011</v>
      </c>
    </row>
    <row r="66" spans="1:10" x14ac:dyDescent="0.25">
      <c r="A66" s="9" t="s">
        <v>80</v>
      </c>
      <c r="B66" s="9" t="s">
        <v>40</v>
      </c>
      <c r="C66" s="9" t="s">
        <v>11</v>
      </c>
      <c r="D66" s="9" t="s">
        <v>12</v>
      </c>
      <c r="E66" s="10">
        <v>41594</v>
      </c>
      <c r="F66" s="12">
        <v>26333</v>
      </c>
      <c r="G66" s="12">
        <v>70454726</v>
      </c>
      <c r="H66" s="12">
        <v>29644835</v>
      </c>
      <c r="I66" s="12">
        <f>SalesSummary[[#This Row],[Total Revenue]]-SalesSummary[[#This Row],[Total Profit]]</f>
        <v>40809891</v>
      </c>
      <c r="J66" s="14">
        <f>SalesSummary[[#This Row],[Total Profit]]/SalesSummary[[#This Row],[Total Revenue]]</f>
        <v>0.4207643217574929</v>
      </c>
    </row>
    <row r="67" spans="1:10" x14ac:dyDescent="0.25">
      <c r="A67" s="9" t="s">
        <v>22</v>
      </c>
      <c r="B67" s="9" t="s">
        <v>40</v>
      </c>
      <c r="C67" s="9" t="s">
        <v>11</v>
      </c>
      <c r="D67" s="9" t="s">
        <v>12</v>
      </c>
      <c r="E67" s="10">
        <v>41603</v>
      </c>
      <c r="F67" s="12">
        <v>26333</v>
      </c>
      <c r="G67" s="12">
        <v>100573444</v>
      </c>
      <c r="H67" s="12">
        <v>77841599</v>
      </c>
      <c r="I67" s="12">
        <f>SalesSummary[[#This Row],[Total Revenue]]-SalesSummary[[#This Row],[Total Profit]]</f>
        <v>22731845</v>
      </c>
      <c r="J67" s="14">
        <f>SalesSummary[[#This Row],[Total Profit]]/SalesSummary[[#This Row],[Total Revenue]]</f>
        <v>0.77397766153856673</v>
      </c>
    </row>
    <row r="68" spans="1:10" x14ac:dyDescent="0.25">
      <c r="A68" s="9" t="s">
        <v>81</v>
      </c>
      <c r="B68" s="9" t="s">
        <v>30</v>
      </c>
      <c r="C68" s="9" t="s">
        <v>11</v>
      </c>
      <c r="D68" s="9" t="s">
        <v>19</v>
      </c>
      <c r="E68" s="10">
        <v>41159</v>
      </c>
      <c r="F68" s="12">
        <v>5667</v>
      </c>
      <c r="G68" s="12">
        <v>70745488</v>
      </c>
      <c r="H68" s="12">
        <v>21691936</v>
      </c>
      <c r="I68" s="12">
        <f>SalesSummary[[#This Row],[Total Revenue]]-SalesSummary[[#This Row],[Total Profit]]</f>
        <v>49053552</v>
      </c>
      <c r="J68" s="14">
        <f>SalesSummary[[#This Row],[Total Profit]]/SalesSummary[[#This Row],[Total Revenue]]</f>
        <v>0.30661935641747218</v>
      </c>
    </row>
    <row r="69" spans="1:10" x14ac:dyDescent="0.25">
      <c r="A69" s="9" t="s">
        <v>82</v>
      </c>
      <c r="B69" s="9" t="s">
        <v>34</v>
      </c>
      <c r="C69" s="9" t="s">
        <v>11</v>
      </c>
      <c r="D69" s="9" t="s">
        <v>26</v>
      </c>
      <c r="E69" s="10">
        <v>42560</v>
      </c>
      <c r="F69" s="12">
        <v>3584</v>
      </c>
      <c r="G69" s="12">
        <v>60082144</v>
      </c>
      <c r="H69" s="12">
        <v>40377312</v>
      </c>
      <c r="I69" s="12">
        <f>SalesSummary[[#This Row],[Total Revenue]]-SalesSummary[[#This Row],[Total Profit]]</f>
        <v>19704832</v>
      </c>
      <c r="J69" s="14">
        <f>SalesSummary[[#This Row],[Total Profit]]/SalesSummary[[#This Row],[Total Revenue]]</f>
        <v>0.67203513909224011</v>
      </c>
    </row>
    <row r="70" spans="1:10" x14ac:dyDescent="0.25">
      <c r="A70" s="9" t="s">
        <v>83</v>
      </c>
      <c r="B70" s="9" t="s">
        <v>18</v>
      </c>
      <c r="C70" s="9" t="s">
        <v>11</v>
      </c>
      <c r="D70" s="9" t="s">
        <v>12</v>
      </c>
      <c r="E70" s="10">
        <v>40499</v>
      </c>
      <c r="F70" s="12">
        <v>52496</v>
      </c>
      <c r="G70" s="12">
        <v>539657727</v>
      </c>
      <c r="H70" s="12">
        <v>104623375</v>
      </c>
      <c r="I70" s="12">
        <f>SalesSummary[[#This Row],[Total Revenue]]-SalesSummary[[#This Row],[Total Profit]]</f>
        <v>435034352</v>
      </c>
      <c r="J70" s="14">
        <f>SalesSummary[[#This Row],[Total Profit]]/SalesSummary[[#This Row],[Total Revenue]]</f>
        <v>0.19386987300563566</v>
      </c>
    </row>
    <row r="71" spans="1:10" x14ac:dyDescent="0.25">
      <c r="A71" s="9" t="s">
        <v>84</v>
      </c>
      <c r="B71" s="9" t="s">
        <v>34</v>
      </c>
      <c r="C71" s="9" t="s">
        <v>11</v>
      </c>
      <c r="D71" s="9" t="s">
        <v>19</v>
      </c>
      <c r="E71" s="10">
        <v>42152</v>
      </c>
      <c r="F71" s="12">
        <v>3584</v>
      </c>
      <c r="G71" s="12">
        <v>80233376</v>
      </c>
      <c r="H71" s="12">
        <v>53919648</v>
      </c>
      <c r="I71" s="12">
        <f>SalesSummary[[#This Row],[Total Revenue]]-SalesSummary[[#This Row],[Total Profit]]</f>
        <v>26313728</v>
      </c>
      <c r="J71" s="14">
        <f>SalesSummary[[#This Row],[Total Profit]]/SalesSummary[[#This Row],[Total Revenue]]</f>
        <v>0.67203513909224011</v>
      </c>
    </row>
    <row r="72" spans="1:10" x14ac:dyDescent="0.25">
      <c r="A72" s="9" t="s">
        <v>43</v>
      </c>
      <c r="B72" s="9" t="s">
        <v>18</v>
      </c>
      <c r="C72" s="9" t="s">
        <v>15</v>
      </c>
      <c r="D72" s="9" t="s">
        <v>26</v>
      </c>
      <c r="E72" s="10">
        <v>41414</v>
      </c>
      <c r="F72" s="12">
        <v>52496</v>
      </c>
      <c r="G72" s="12">
        <v>32625621</v>
      </c>
      <c r="H72" s="12">
        <v>6325125</v>
      </c>
      <c r="I72" s="12">
        <f>SalesSummary[[#This Row],[Total Revenue]]-SalesSummary[[#This Row],[Total Profit]]</f>
        <v>26300496</v>
      </c>
      <c r="J72" s="14">
        <f>SalesSummary[[#This Row],[Total Profit]]/SalesSummary[[#This Row],[Total Revenue]]</f>
        <v>0.19386987300563566</v>
      </c>
    </row>
    <row r="73" spans="1:10" x14ac:dyDescent="0.25">
      <c r="A73" s="9" t="s">
        <v>79</v>
      </c>
      <c r="B73" s="9" t="s">
        <v>21</v>
      </c>
      <c r="C73" s="9" t="s">
        <v>15</v>
      </c>
      <c r="D73" s="9" t="s">
        <v>19</v>
      </c>
      <c r="E73" s="10">
        <v>42277</v>
      </c>
      <c r="F73" s="12">
        <v>692</v>
      </c>
      <c r="G73" s="12">
        <v>627909</v>
      </c>
      <c r="H73" s="12">
        <v>162193</v>
      </c>
      <c r="I73" s="12">
        <f>SalesSummary[[#This Row],[Total Revenue]]-SalesSummary[[#This Row],[Total Profit]]</f>
        <v>465716</v>
      </c>
      <c r="J73" s="14">
        <f>SalesSummary[[#This Row],[Total Profit]]/SalesSummary[[#This Row],[Total Revenue]]</f>
        <v>0.25830653804930331</v>
      </c>
    </row>
    <row r="74" spans="1:10" x14ac:dyDescent="0.25">
      <c r="A74" s="9" t="s">
        <v>85</v>
      </c>
      <c r="B74" s="9" t="s">
        <v>42</v>
      </c>
      <c r="C74" s="9" t="s">
        <v>15</v>
      </c>
      <c r="D74" s="9" t="s">
        <v>16</v>
      </c>
      <c r="E74" s="10">
        <v>40739</v>
      </c>
      <c r="F74" s="12">
        <v>3179</v>
      </c>
      <c r="G74" s="12">
        <v>27241045</v>
      </c>
      <c r="H74" s="12">
        <v>8990406</v>
      </c>
      <c r="I74" s="12">
        <f>SalesSummary[[#This Row],[Total Revenue]]-SalesSummary[[#This Row],[Total Profit]]</f>
        <v>18250639</v>
      </c>
      <c r="J74" s="14">
        <f>SalesSummary[[#This Row],[Total Profit]]/SalesSummary[[#This Row],[Total Revenue]]</f>
        <v>0.33003161222339306</v>
      </c>
    </row>
    <row r="75" spans="1:10" x14ac:dyDescent="0.25">
      <c r="A75" s="9" t="s">
        <v>59</v>
      </c>
      <c r="B75" s="9" t="s">
        <v>14</v>
      </c>
      <c r="C75" s="9" t="s">
        <v>15</v>
      </c>
      <c r="D75" s="9" t="s">
        <v>12</v>
      </c>
      <c r="E75" s="10">
        <v>42903</v>
      </c>
      <c r="F75" s="12">
        <v>11711</v>
      </c>
      <c r="G75" s="12">
        <v>170805392</v>
      </c>
      <c r="H75" s="12">
        <v>76683504</v>
      </c>
      <c r="I75" s="12">
        <f>SalesSummary[[#This Row],[Total Revenue]]-SalesSummary[[#This Row],[Total Profit]]</f>
        <v>94121888</v>
      </c>
      <c r="J75" s="14">
        <f>SalesSummary[[#This Row],[Total Profit]]/SalesSummary[[#This Row],[Total Revenue]]</f>
        <v>0.44895247803418292</v>
      </c>
    </row>
    <row r="76" spans="1:10" x14ac:dyDescent="0.25">
      <c r="A76" s="9" t="s">
        <v>86</v>
      </c>
      <c r="B76" s="9" t="s">
        <v>40</v>
      </c>
      <c r="C76" s="9" t="s">
        <v>11</v>
      </c>
      <c r="D76" s="9" t="s">
        <v>19</v>
      </c>
      <c r="E76" s="10">
        <v>41502</v>
      </c>
      <c r="F76" s="12">
        <v>26333</v>
      </c>
      <c r="G76" s="12">
        <v>430247824</v>
      </c>
      <c r="H76" s="12">
        <v>171992204</v>
      </c>
      <c r="I76" s="12">
        <f>SalesSummary[[#This Row],[Total Revenue]]-SalesSummary[[#This Row],[Total Profit]]</f>
        <v>258255620</v>
      </c>
      <c r="J76" s="14">
        <f>SalesSummary[[#This Row],[Total Profit]]/SalesSummary[[#This Row],[Total Revenue]]</f>
        <v>0.39975147904524905</v>
      </c>
    </row>
    <row r="77" spans="1:10" x14ac:dyDescent="0.25">
      <c r="A77" s="9" t="s">
        <v>87</v>
      </c>
      <c r="B77" s="9" t="s">
        <v>25</v>
      </c>
      <c r="C77" s="9" t="s">
        <v>11</v>
      </c>
      <c r="D77" s="9" t="s">
        <v>16</v>
      </c>
      <c r="E77" s="10">
        <v>41985</v>
      </c>
      <c r="F77" s="12">
        <v>50254</v>
      </c>
      <c r="G77" s="12">
        <v>464714958</v>
      </c>
      <c r="H77" s="12">
        <v>115248642</v>
      </c>
      <c r="I77" s="12">
        <f>SalesSummary[[#This Row],[Total Revenue]]-SalesSummary[[#This Row],[Total Profit]]</f>
        <v>349466316</v>
      </c>
      <c r="J77" s="14">
        <f>SalesSummary[[#This Row],[Total Profit]]/SalesSummary[[#This Row],[Total Revenue]]</f>
        <v>0.24799856345489099</v>
      </c>
    </row>
    <row r="78" spans="1:10" x14ac:dyDescent="0.25">
      <c r="A78" s="9" t="s">
        <v>88</v>
      </c>
      <c r="B78" s="9" t="s">
        <v>42</v>
      </c>
      <c r="C78" s="9" t="s">
        <v>15</v>
      </c>
      <c r="D78" s="9" t="s">
        <v>16</v>
      </c>
      <c r="E78" s="10">
        <v>41958</v>
      </c>
      <c r="F78" s="12">
        <v>3179</v>
      </c>
      <c r="G78" s="12">
        <v>44503355</v>
      </c>
      <c r="H78" s="12">
        <v>14687514</v>
      </c>
      <c r="I78" s="12">
        <f>SalesSummary[[#This Row],[Total Revenue]]-SalesSummary[[#This Row],[Total Profit]]</f>
        <v>29815841</v>
      </c>
      <c r="J78" s="14">
        <f>SalesSummary[[#This Row],[Total Profit]]/SalesSummary[[#This Row],[Total Revenue]]</f>
        <v>0.33003161222339306</v>
      </c>
    </row>
    <row r="79" spans="1:10" x14ac:dyDescent="0.25">
      <c r="A79" s="9" t="s">
        <v>89</v>
      </c>
      <c r="B79" s="9" t="s">
        <v>28</v>
      </c>
      <c r="C79" s="9" t="s">
        <v>11</v>
      </c>
      <c r="D79" s="9" t="s">
        <v>16</v>
      </c>
      <c r="E79" s="10">
        <v>40839</v>
      </c>
      <c r="F79" s="12">
        <v>9093</v>
      </c>
      <c r="G79" s="12">
        <v>57495192</v>
      </c>
      <c r="H79" s="12">
        <v>23560116</v>
      </c>
      <c r="I79" s="12">
        <f>SalesSummary[[#This Row],[Total Revenue]]-SalesSummary[[#This Row],[Total Profit]]</f>
        <v>33935076</v>
      </c>
      <c r="J79" s="14">
        <f>SalesSummary[[#This Row],[Total Profit]]/SalesSummary[[#This Row],[Total Revenue]]</f>
        <v>0.40977541217707386</v>
      </c>
    </row>
    <row r="80" spans="1:10" x14ac:dyDescent="0.25">
      <c r="A80" s="9" t="s">
        <v>90</v>
      </c>
      <c r="B80" s="9" t="s">
        <v>10</v>
      </c>
      <c r="C80" s="9" t="s">
        <v>11</v>
      </c>
      <c r="D80" s="9" t="s">
        <v>12</v>
      </c>
      <c r="E80" s="10">
        <v>40945</v>
      </c>
      <c r="F80" s="12">
        <v>15942</v>
      </c>
      <c r="G80" s="12">
        <v>219898192</v>
      </c>
      <c r="H80" s="12">
        <v>82573804</v>
      </c>
      <c r="I80" s="12">
        <f>SalesSummary[[#This Row],[Total Revenue]]-SalesSummary[[#This Row],[Total Profit]]</f>
        <v>137324388</v>
      </c>
      <c r="J80" s="14">
        <f>SalesSummary[[#This Row],[Total Profit]]/SalesSummary[[#This Row],[Total Revenue]]</f>
        <v>0.37550924475086178</v>
      </c>
    </row>
    <row r="81" spans="1:10" x14ac:dyDescent="0.25">
      <c r="A81" s="9" t="s">
        <v>91</v>
      </c>
      <c r="B81" s="9" t="s">
        <v>40</v>
      </c>
      <c r="C81" s="9" t="s">
        <v>15</v>
      </c>
      <c r="D81" s="9" t="s">
        <v>12</v>
      </c>
      <c r="E81" s="10">
        <v>41463</v>
      </c>
      <c r="F81" s="12">
        <v>26333</v>
      </c>
      <c r="G81" s="12">
        <v>420207288</v>
      </c>
      <c r="H81" s="12">
        <v>167854098</v>
      </c>
      <c r="I81" s="12">
        <f>SalesSummary[[#This Row],[Total Revenue]]-SalesSummary[[#This Row],[Total Profit]]</f>
        <v>252353190</v>
      </c>
      <c r="J81" s="14">
        <f>SalesSummary[[#This Row],[Total Profit]]/SalesSummary[[#This Row],[Total Revenue]]</f>
        <v>0.39945546589377573</v>
      </c>
    </row>
    <row r="82" spans="1:10" x14ac:dyDescent="0.25">
      <c r="A82" s="9" t="s">
        <v>92</v>
      </c>
      <c r="B82" s="9" t="s">
        <v>25</v>
      </c>
      <c r="C82" s="9" t="s">
        <v>11</v>
      </c>
      <c r="D82" s="9" t="s">
        <v>19</v>
      </c>
      <c r="E82" s="10">
        <v>41243</v>
      </c>
      <c r="F82" s="12">
        <v>50254</v>
      </c>
      <c r="G82" s="12">
        <v>301590251</v>
      </c>
      <c r="H82" s="12">
        <v>74793949</v>
      </c>
      <c r="I82" s="12">
        <f>SalesSummary[[#This Row],[Total Revenue]]-SalesSummary[[#This Row],[Total Profit]]</f>
        <v>226796302</v>
      </c>
      <c r="J82" s="14">
        <f>SalesSummary[[#This Row],[Total Profit]]/SalesSummary[[#This Row],[Total Revenue]]</f>
        <v>0.24799856345489099</v>
      </c>
    </row>
    <row r="83" spans="1:10" x14ac:dyDescent="0.25">
      <c r="A83" s="9" t="s">
        <v>93</v>
      </c>
      <c r="B83" s="9" t="s">
        <v>34</v>
      </c>
      <c r="C83" s="9" t="s">
        <v>15</v>
      </c>
      <c r="D83" s="9" t="s">
        <v>19</v>
      </c>
      <c r="E83" s="10">
        <v>41131</v>
      </c>
      <c r="F83" s="12">
        <v>3584</v>
      </c>
      <c r="G83" s="12">
        <v>86156352</v>
      </c>
      <c r="H83" s="12">
        <v>57900096</v>
      </c>
      <c r="I83" s="12">
        <f>SalesSummary[[#This Row],[Total Revenue]]-SalesSummary[[#This Row],[Total Profit]]</f>
        <v>28256256</v>
      </c>
      <c r="J83" s="14">
        <f>SalesSummary[[#This Row],[Total Profit]]/SalesSummary[[#This Row],[Total Revenue]]</f>
        <v>0.67203513909224011</v>
      </c>
    </row>
    <row r="84" spans="1:10" x14ac:dyDescent="0.25">
      <c r="A84" s="9" t="s">
        <v>94</v>
      </c>
      <c r="B84" s="9" t="s">
        <v>40</v>
      </c>
      <c r="C84" s="9" t="s">
        <v>15</v>
      </c>
      <c r="D84" s="9" t="s">
        <v>12</v>
      </c>
      <c r="E84" s="10">
        <v>42594</v>
      </c>
      <c r="F84" s="12">
        <v>26333</v>
      </c>
      <c r="G84" s="12">
        <v>280369908</v>
      </c>
      <c r="H84" s="12">
        <v>112824243</v>
      </c>
      <c r="I84" s="12">
        <f>SalesSummary[[#This Row],[Total Revenue]]-SalesSummary[[#This Row],[Total Profit]]</f>
        <v>167545665</v>
      </c>
      <c r="J84" s="14">
        <f>SalesSummary[[#This Row],[Total Profit]]/SalesSummary[[#This Row],[Total Revenue]]</f>
        <v>0.40241209837683434</v>
      </c>
    </row>
    <row r="85" spans="1:10" x14ac:dyDescent="0.25">
      <c r="A85" s="9" t="s">
        <v>95</v>
      </c>
      <c r="B85" s="9" t="s">
        <v>48</v>
      </c>
      <c r="C85" s="9" t="s">
        <v>15</v>
      </c>
      <c r="D85" s="9" t="s">
        <v>19</v>
      </c>
      <c r="E85" s="10">
        <v>40664</v>
      </c>
      <c r="F85" s="12">
        <v>9744</v>
      </c>
      <c r="G85" s="12">
        <v>6232893</v>
      </c>
      <c r="H85" s="12">
        <v>2252469</v>
      </c>
      <c r="I85" s="12">
        <f>SalesSummary[[#This Row],[Total Revenue]]-SalesSummary[[#This Row],[Total Profit]]</f>
        <v>3980424</v>
      </c>
      <c r="J85" s="14">
        <f>SalesSummary[[#This Row],[Total Profit]]/SalesSummary[[#This Row],[Total Revenue]]</f>
        <v>0.36138419189933152</v>
      </c>
    </row>
    <row r="86" spans="1:10" x14ac:dyDescent="0.25">
      <c r="A86" s="9" t="s">
        <v>96</v>
      </c>
      <c r="B86" s="9" t="s">
        <v>28</v>
      </c>
      <c r="C86" s="9" t="s">
        <v>15</v>
      </c>
      <c r="D86" s="9" t="s">
        <v>19</v>
      </c>
      <c r="E86" s="10">
        <v>41094</v>
      </c>
      <c r="F86" s="12">
        <v>9093</v>
      </c>
      <c r="G86" s="12">
        <v>99476542</v>
      </c>
      <c r="H86" s="12">
        <v>40763041</v>
      </c>
      <c r="I86" s="12">
        <f>SalesSummary[[#This Row],[Total Revenue]]-SalesSummary[[#This Row],[Total Profit]]</f>
        <v>58713501</v>
      </c>
      <c r="J86" s="14">
        <f>SalesSummary[[#This Row],[Total Profit]]/SalesSummary[[#This Row],[Total Revenue]]</f>
        <v>0.40977541217707386</v>
      </c>
    </row>
    <row r="87" spans="1:10" x14ac:dyDescent="0.25">
      <c r="A87" s="9" t="s">
        <v>87</v>
      </c>
      <c r="B87" s="9" t="s">
        <v>30</v>
      </c>
      <c r="C87" s="9" t="s">
        <v>11</v>
      </c>
      <c r="D87" s="9" t="s">
        <v>19</v>
      </c>
      <c r="E87" s="10">
        <v>40988</v>
      </c>
      <c r="F87" s="12">
        <v>5667</v>
      </c>
      <c r="G87" s="12">
        <v>52487006</v>
      </c>
      <c r="H87" s="12">
        <v>16093532</v>
      </c>
      <c r="I87" s="12">
        <f>SalesSummary[[#This Row],[Total Revenue]]-SalesSummary[[#This Row],[Total Profit]]</f>
        <v>36393474</v>
      </c>
      <c r="J87" s="14">
        <f>SalesSummary[[#This Row],[Total Profit]]/SalesSummary[[#This Row],[Total Revenue]]</f>
        <v>0.30661935641747218</v>
      </c>
    </row>
    <row r="88" spans="1:10" x14ac:dyDescent="0.25">
      <c r="A88" s="9" t="s">
        <v>20</v>
      </c>
      <c r="B88" s="9" t="s">
        <v>42</v>
      </c>
      <c r="C88" s="9" t="s">
        <v>11</v>
      </c>
      <c r="D88" s="9" t="s">
        <v>16</v>
      </c>
      <c r="E88" s="10">
        <v>40564</v>
      </c>
      <c r="F88" s="12">
        <v>3179</v>
      </c>
      <c r="G88" s="12">
        <v>41893605</v>
      </c>
      <c r="H88" s="12">
        <v>13826214</v>
      </c>
      <c r="I88" s="12">
        <f>SalesSummary[[#This Row],[Total Revenue]]-SalesSummary[[#This Row],[Total Profit]]</f>
        <v>28067391</v>
      </c>
      <c r="J88" s="14">
        <f>SalesSummary[[#This Row],[Total Profit]]/SalesSummary[[#This Row],[Total Revenue]]</f>
        <v>0.33003161222339306</v>
      </c>
    </row>
    <row r="89" spans="1:10" x14ac:dyDescent="0.25">
      <c r="A89" s="9" t="s">
        <v>54</v>
      </c>
      <c r="B89" s="9" t="s">
        <v>10</v>
      </c>
      <c r="C89" s="9" t="s">
        <v>11</v>
      </c>
      <c r="D89" s="9" t="s">
        <v>26</v>
      </c>
      <c r="E89" s="10">
        <v>41718</v>
      </c>
      <c r="F89" s="12">
        <v>15942</v>
      </c>
      <c r="G89" s="12">
        <v>141910152</v>
      </c>
      <c r="H89" s="12">
        <v>53288574</v>
      </c>
      <c r="I89" s="12">
        <f>SalesSummary[[#This Row],[Total Revenue]]-SalesSummary[[#This Row],[Total Profit]]</f>
        <v>88621578</v>
      </c>
      <c r="J89" s="14">
        <f>SalesSummary[[#This Row],[Total Profit]]/SalesSummary[[#This Row],[Total Revenue]]</f>
        <v>0.37550924475086178</v>
      </c>
    </row>
    <row r="90" spans="1:10" x14ac:dyDescent="0.25">
      <c r="A90" s="9" t="s">
        <v>97</v>
      </c>
      <c r="B90" s="9" t="s">
        <v>21</v>
      </c>
      <c r="C90" s="9" t="s">
        <v>15</v>
      </c>
      <c r="D90" s="9" t="s">
        <v>26</v>
      </c>
      <c r="E90" s="10">
        <v>41047</v>
      </c>
      <c r="F90" s="12">
        <v>692</v>
      </c>
      <c r="G90" s="12">
        <v>487026</v>
      </c>
      <c r="H90" s="12">
        <v>125802</v>
      </c>
      <c r="I90" s="12">
        <f>SalesSummary[[#This Row],[Total Revenue]]-SalesSummary[[#This Row],[Total Profit]]</f>
        <v>361224</v>
      </c>
      <c r="J90" s="14">
        <f>SalesSummary[[#This Row],[Total Profit]]/SalesSummary[[#This Row],[Total Revenue]]</f>
        <v>0.25830653804930331</v>
      </c>
    </row>
    <row r="91" spans="1:10" x14ac:dyDescent="0.25">
      <c r="A91" s="9" t="s">
        <v>98</v>
      </c>
      <c r="B91" s="9" t="s">
        <v>42</v>
      </c>
      <c r="C91" s="9" t="s">
        <v>11</v>
      </c>
      <c r="D91" s="9" t="s">
        <v>16</v>
      </c>
      <c r="E91" s="10">
        <v>42699</v>
      </c>
      <c r="F91" s="12">
        <v>3179</v>
      </c>
      <c r="G91" s="12">
        <v>2201117</v>
      </c>
      <c r="H91" s="12">
        <v>729756</v>
      </c>
      <c r="I91" s="12">
        <f>SalesSummary[[#This Row],[Total Revenue]]-SalesSummary[[#This Row],[Total Profit]]</f>
        <v>1471361</v>
      </c>
      <c r="J91" s="14">
        <f>SalesSummary[[#This Row],[Total Profit]]/SalesSummary[[#This Row],[Total Revenue]]</f>
        <v>0.33153894136477069</v>
      </c>
    </row>
    <row r="92" spans="1:10" x14ac:dyDescent="0.25">
      <c r="A92" s="9" t="s">
        <v>73</v>
      </c>
      <c r="B92" s="9" t="s">
        <v>18</v>
      </c>
      <c r="C92" s="9" t="s">
        <v>11</v>
      </c>
      <c r="D92" s="9" t="s">
        <v>12</v>
      </c>
      <c r="E92" s="10">
        <v>42718</v>
      </c>
      <c r="F92" s="12">
        <v>52496</v>
      </c>
      <c r="G92" s="12">
        <v>61734708</v>
      </c>
      <c r="H92" s="12">
        <v>119685</v>
      </c>
      <c r="I92" s="12">
        <f>SalesSummary[[#This Row],[Total Revenue]]-SalesSummary[[#This Row],[Total Profit]]</f>
        <v>61615023</v>
      </c>
      <c r="J92" s="14">
        <f>SalesSummary[[#This Row],[Total Profit]]/SalesSummary[[#This Row],[Total Revenue]]</f>
        <v>1.9386987300563567E-3</v>
      </c>
    </row>
    <row r="93" spans="1:10" x14ac:dyDescent="0.25">
      <c r="A93" s="9" t="s">
        <v>57</v>
      </c>
      <c r="B93" s="9" t="s">
        <v>42</v>
      </c>
      <c r="C93" s="9" t="s">
        <v>11</v>
      </c>
      <c r="D93" s="9" t="s">
        <v>12</v>
      </c>
      <c r="E93" s="10">
        <v>41950</v>
      </c>
      <c r="F93" s="12">
        <v>3179</v>
      </c>
      <c r="G93" s="12">
        <v>44550805</v>
      </c>
      <c r="H93" s="12">
        <v>14703174</v>
      </c>
      <c r="I93" s="12">
        <f>SalesSummary[[#This Row],[Total Revenue]]-SalesSummary[[#This Row],[Total Profit]]</f>
        <v>29847631</v>
      </c>
      <c r="J93" s="14">
        <f>SalesSummary[[#This Row],[Total Profit]]/SalesSummary[[#This Row],[Total Revenue]]</f>
        <v>0.33003161222339306</v>
      </c>
    </row>
    <row r="94" spans="1:10" x14ac:dyDescent="0.25">
      <c r="A94" s="9" t="s">
        <v>64</v>
      </c>
      <c r="B94" s="9" t="s">
        <v>18</v>
      </c>
      <c r="C94" s="9" t="s">
        <v>15</v>
      </c>
      <c r="D94" s="9" t="s">
        <v>26</v>
      </c>
      <c r="E94" s="10">
        <v>41114</v>
      </c>
      <c r="F94" s="12">
        <v>52496</v>
      </c>
      <c r="G94" s="12">
        <v>131609541</v>
      </c>
      <c r="H94" s="12">
        <v>25515125</v>
      </c>
      <c r="I94" s="12">
        <f>SalesSummary[[#This Row],[Total Revenue]]-SalesSummary[[#This Row],[Total Profit]]</f>
        <v>106094416</v>
      </c>
      <c r="J94" s="14">
        <f>SalesSummary[[#This Row],[Total Profit]]/SalesSummary[[#This Row],[Total Revenue]]</f>
        <v>0.19386987300563566</v>
      </c>
    </row>
    <row r="95" spans="1:10" x14ac:dyDescent="0.25">
      <c r="A95" s="9" t="s">
        <v>99</v>
      </c>
      <c r="B95" s="9" t="s">
        <v>40</v>
      </c>
      <c r="C95" s="9" t="s">
        <v>15</v>
      </c>
      <c r="D95" s="9" t="s">
        <v>12</v>
      </c>
      <c r="E95" s="10">
        <v>40537</v>
      </c>
      <c r="F95" s="12">
        <v>26333</v>
      </c>
      <c r="G95" s="12">
        <v>34958252</v>
      </c>
      <c r="H95" s="12">
        <v>13753117</v>
      </c>
      <c r="I95" s="12">
        <f>SalesSummary[[#This Row],[Total Revenue]]-SalesSummary[[#This Row],[Total Profit]]</f>
        <v>21205135</v>
      </c>
      <c r="J95" s="14">
        <f>SalesSummary[[#This Row],[Total Profit]]/SalesSummary[[#This Row],[Total Revenue]]</f>
        <v>0.39341546596780641</v>
      </c>
    </row>
    <row r="96" spans="1:10" x14ac:dyDescent="0.25">
      <c r="A96" s="9" t="s">
        <v>100</v>
      </c>
      <c r="B96" s="9" t="s">
        <v>42</v>
      </c>
      <c r="C96" s="9" t="s">
        <v>11</v>
      </c>
      <c r="D96" s="9" t="s">
        <v>16</v>
      </c>
      <c r="E96" s="10">
        <v>40623</v>
      </c>
      <c r="F96" s="12">
        <v>3179</v>
      </c>
      <c r="G96" s="12">
        <v>38970022</v>
      </c>
      <c r="H96" s="12">
        <v>12772296</v>
      </c>
      <c r="I96" s="12">
        <f>SalesSummary[[#This Row],[Total Revenue]]-SalesSummary[[#This Row],[Total Profit]]</f>
        <v>26197726</v>
      </c>
      <c r="J96" s="14">
        <f>SalesSummary[[#This Row],[Total Profit]]/SalesSummary[[#This Row],[Total Revenue]]</f>
        <v>0.32774669719201083</v>
      </c>
    </row>
    <row r="97" spans="1:10" x14ac:dyDescent="0.25">
      <c r="A97" s="9" t="s">
        <v>53</v>
      </c>
      <c r="B97" s="9" t="s">
        <v>34</v>
      </c>
      <c r="C97" s="9" t="s">
        <v>15</v>
      </c>
      <c r="D97" s="9" t="s">
        <v>26</v>
      </c>
      <c r="E97" s="10">
        <v>40611</v>
      </c>
      <c r="F97" s="12">
        <v>3584</v>
      </c>
      <c r="G97" s="12">
        <v>9704064</v>
      </c>
      <c r="H97" s="12">
        <v>6521472</v>
      </c>
      <c r="I97" s="12">
        <f>SalesSummary[[#This Row],[Total Revenue]]-SalesSummary[[#This Row],[Total Profit]]</f>
        <v>3182592</v>
      </c>
      <c r="J97" s="14">
        <f>SalesSummary[[#This Row],[Total Profit]]/SalesSummary[[#This Row],[Total Revenue]]</f>
        <v>0.67203513909224011</v>
      </c>
    </row>
    <row r="98" spans="1:10" x14ac:dyDescent="0.25">
      <c r="A98" s="9" t="s">
        <v>101</v>
      </c>
      <c r="B98" s="9" t="s">
        <v>21</v>
      </c>
      <c r="C98" s="9" t="s">
        <v>11</v>
      </c>
      <c r="D98" s="9" t="s">
        <v>19</v>
      </c>
      <c r="E98" s="10">
        <v>40905</v>
      </c>
      <c r="F98" s="12">
        <v>692</v>
      </c>
      <c r="G98" s="12">
        <v>5847111</v>
      </c>
      <c r="H98" s="12">
        <v>1510347</v>
      </c>
      <c r="I98" s="12">
        <f>SalesSummary[[#This Row],[Total Revenue]]-SalesSummary[[#This Row],[Total Profit]]</f>
        <v>4336764</v>
      </c>
      <c r="J98" s="14">
        <f>SalesSummary[[#This Row],[Total Profit]]/SalesSummary[[#This Row],[Total Revenue]]</f>
        <v>0.25830653804930331</v>
      </c>
    </row>
    <row r="99" spans="1:10" x14ac:dyDescent="0.25">
      <c r="A99" s="9" t="s">
        <v>73</v>
      </c>
      <c r="B99" s="9" t="s">
        <v>28</v>
      </c>
      <c r="C99" s="9" t="s">
        <v>11</v>
      </c>
      <c r="D99" s="9" t="s">
        <v>16</v>
      </c>
      <c r="E99" s="10">
        <v>42550</v>
      </c>
      <c r="F99" s="12">
        <v>9093</v>
      </c>
      <c r="G99" s="12">
        <v>22987791</v>
      </c>
      <c r="H99" s="12">
        <v>9374805</v>
      </c>
      <c r="I99" s="12">
        <f>SalesSummary[[#This Row],[Total Revenue]]-SalesSummary[[#This Row],[Total Profit]]</f>
        <v>13612986</v>
      </c>
      <c r="J99" s="14">
        <f>SalesSummary[[#This Row],[Total Profit]]/SalesSummary[[#This Row],[Total Revenue]]</f>
        <v>0.40781669713283891</v>
      </c>
    </row>
    <row r="100" spans="1:10" x14ac:dyDescent="0.25">
      <c r="A100" s="9" t="s">
        <v>87</v>
      </c>
      <c r="B100" s="9" t="s">
        <v>30</v>
      </c>
      <c r="C100" s="9" t="s">
        <v>11</v>
      </c>
      <c r="D100" s="9" t="s">
        <v>26</v>
      </c>
      <c r="E100" s="10">
        <v>42224</v>
      </c>
      <c r="F100" s="12">
        <v>5667</v>
      </c>
      <c r="G100" s="12">
        <v>47133691</v>
      </c>
      <c r="H100" s="12">
        <v>14452102</v>
      </c>
      <c r="I100" s="12">
        <f>SalesSummary[[#This Row],[Total Revenue]]-SalesSummary[[#This Row],[Total Profit]]</f>
        <v>32681589</v>
      </c>
      <c r="J100" s="14">
        <f>SalesSummary[[#This Row],[Total Profit]]/SalesSummary[[#This Row],[Total Revenue]]</f>
        <v>0.30661935641747218</v>
      </c>
    </row>
    <row r="101" spans="1:10" x14ac:dyDescent="0.25">
      <c r="A101" s="9" t="s">
        <v>102</v>
      </c>
      <c r="B101" s="9" t="s">
        <v>25</v>
      </c>
      <c r="C101" s="9" t="s">
        <v>11</v>
      </c>
      <c r="D101" s="9" t="s">
        <v>19</v>
      </c>
      <c r="E101" s="10">
        <v>40954</v>
      </c>
      <c r="F101" s="12">
        <v>50254</v>
      </c>
      <c r="G101" s="12">
        <v>358660509</v>
      </c>
      <c r="H101" s="12">
        <v>88947291</v>
      </c>
      <c r="I101" s="12">
        <f>SalesSummary[[#This Row],[Total Revenue]]-SalesSummary[[#This Row],[Total Profit]]</f>
        <v>269713218</v>
      </c>
      <c r="J101" s="14">
        <f>SalesSummary[[#This Row],[Total Profit]]/SalesSummary[[#This Row],[Total Revenue]]</f>
        <v>0.24799856345489099</v>
      </c>
    </row>
    <row r="102" spans="1:10" x14ac:dyDescent="0.25">
      <c r="E102" s="1"/>
      <c r="F102" s="5"/>
      <c r="G102" s="5"/>
      <c r="H102" s="5"/>
      <c r="I102" s="5"/>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C0383-0FCF-40AF-87F8-EF201F942411}">
  <dimension ref="A9:C84"/>
  <sheetViews>
    <sheetView showGridLines="0" zoomScale="60" zoomScaleNormal="60" workbookViewId="0">
      <selection activeCell="K32" sqref="K32:M32"/>
    </sheetView>
  </sheetViews>
  <sheetFormatPr defaultRowHeight="15" x14ac:dyDescent="0.25"/>
  <cols>
    <col min="1" max="1" width="19.7109375" bestFit="1" customWidth="1"/>
    <col min="2" max="2" width="26.28515625" bestFit="1" customWidth="1"/>
    <col min="3" max="3" width="29.7109375" bestFit="1" customWidth="1"/>
  </cols>
  <sheetData>
    <row r="9" spans="1:3" x14ac:dyDescent="0.25">
      <c r="A9" s="3" t="s">
        <v>103</v>
      </c>
      <c r="B9" t="s">
        <v>108</v>
      </c>
      <c r="C9" t="s">
        <v>107</v>
      </c>
    </row>
    <row r="10" spans="1:3" x14ac:dyDescent="0.25">
      <c r="A10" s="4" t="s">
        <v>127</v>
      </c>
      <c r="B10">
        <v>323924929</v>
      </c>
      <c r="C10">
        <v>1023866957</v>
      </c>
    </row>
    <row r="11" spans="1:3" x14ac:dyDescent="0.25">
      <c r="A11" s="7" t="s">
        <v>121</v>
      </c>
      <c r="B11">
        <v>7274232</v>
      </c>
      <c r="C11">
        <v>10824184</v>
      </c>
    </row>
    <row r="12" spans="1:3" x14ac:dyDescent="0.25">
      <c r="A12" s="7" t="s">
        <v>122</v>
      </c>
      <c r="B12">
        <v>125777558</v>
      </c>
      <c r="C12">
        <v>316027048</v>
      </c>
    </row>
    <row r="13" spans="1:3" x14ac:dyDescent="0.25">
      <c r="A13" s="7" t="s">
        <v>123</v>
      </c>
      <c r="B13">
        <v>16663536</v>
      </c>
      <c r="C13">
        <v>24795632</v>
      </c>
    </row>
    <row r="14" spans="1:3" x14ac:dyDescent="0.25">
      <c r="A14" s="7" t="s">
        <v>125</v>
      </c>
      <c r="B14">
        <v>9514105</v>
      </c>
      <c r="C14">
        <v>25336540</v>
      </c>
    </row>
    <row r="15" spans="1:3" x14ac:dyDescent="0.25">
      <c r="A15" s="7" t="s">
        <v>111</v>
      </c>
      <c r="B15">
        <v>1403102</v>
      </c>
      <c r="C15">
        <v>5431926</v>
      </c>
    </row>
    <row r="16" spans="1:3" x14ac:dyDescent="0.25">
      <c r="A16" s="7" t="s">
        <v>112</v>
      </c>
      <c r="B16">
        <v>149539279</v>
      </c>
      <c r="C16">
        <v>606493375</v>
      </c>
    </row>
    <row r="17" spans="1:3" x14ac:dyDescent="0.25">
      <c r="A17" s="7" t="s">
        <v>120</v>
      </c>
      <c r="B17">
        <v>13753117</v>
      </c>
      <c r="C17">
        <v>34958252</v>
      </c>
    </row>
    <row r="18" spans="1:3" x14ac:dyDescent="0.25">
      <c r="A18" s="4" t="s">
        <v>119</v>
      </c>
      <c r="B18">
        <v>154517299</v>
      </c>
      <c r="C18">
        <v>859793045</v>
      </c>
    </row>
    <row r="19" spans="1:3" x14ac:dyDescent="0.25">
      <c r="A19" s="7" t="s">
        <v>121</v>
      </c>
      <c r="B19">
        <v>20857811</v>
      </c>
      <c r="C19">
        <v>69719575</v>
      </c>
    </row>
    <row r="20" spans="1:3" x14ac:dyDescent="0.25">
      <c r="A20" s="7" t="s">
        <v>123</v>
      </c>
      <c r="B20">
        <v>20205712</v>
      </c>
      <c r="C20">
        <v>52204558</v>
      </c>
    </row>
    <row r="21" spans="1:3" x14ac:dyDescent="0.25">
      <c r="A21" s="7" t="s">
        <v>117</v>
      </c>
      <c r="B21">
        <v>69391151</v>
      </c>
      <c r="C21">
        <v>279804649</v>
      </c>
    </row>
    <row r="22" spans="1:3" x14ac:dyDescent="0.25">
      <c r="A22" s="7" t="s">
        <v>124</v>
      </c>
      <c r="B22">
        <v>2252469</v>
      </c>
      <c r="C22">
        <v>6232893</v>
      </c>
    </row>
    <row r="23" spans="1:3" x14ac:dyDescent="0.25">
      <c r="A23" s="7" t="s">
        <v>113</v>
      </c>
      <c r="B23">
        <v>8990406</v>
      </c>
      <c r="C23">
        <v>27241045</v>
      </c>
    </row>
    <row r="24" spans="1:3" x14ac:dyDescent="0.25">
      <c r="A24" s="7" t="s">
        <v>111</v>
      </c>
      <c r="B24">
        <v>23560116</v>
      </c>
      <c r="C24">
        <v>57495192</v>
      </c>
    </row>
    <row r="25" spans="1:3" x14ac:dyDescent="0.25">
      <c r="A25" s="7" t="s">
        <v>112</v>
      </c>
      <c r="B25">
        <v>6966475</v>
      </c>
      <c r="C25">
        <v>359337678</v>
      </c>
    </row>
    <row r="26" spans="1:3" x14ac:dyDescent="0.25">
      <c r="A26" s="7" t="s">
        <v>120</v>
      </c>
      <c r="B26">
        <v>2293159</v>
      </c>
      <c r="C26">
        <v>7757455</v>
      </c>
    </row>
    <row r="27" spans="1:3" x14ac:dyDescent="0.25">
      <c r="A27" s="4" t="s">
        <v>118</v>
      </c>
      <c r="B27">
        <v>800954504</v>
      </c>
      <c r="C27">
        <v>3264160709</v>
      </c>
    </row>
    <row r="28" spans="1:3" x14ac:dyDescent="0.25">
      <c r="A28" s="7" t="s">
        <v>121</v>
      </c>
      <c r="B28">
        <v>1598325</v>
      </c>
      <c r="C28">
        <v>82443186</v>
      </c>
    </row>
    <row r="29" spans="1:3" x14ac:dyDescent="0.25">
      <c r="A29" s="7" t="s">
        <v>122</v>
      </c>
      <c r="B29">
        <v>226530556</v>
      </c>
      <c r="C29">
        <v>857041342</v>
      </c>
    </row>
    <row r="30" spans="1:3" x14ac:dyDescent="0.25">
      <c r="A30" s="7" t="s">
        <v>123</v>
      </c>
      <c r="B30">
        <v>28380044</v>
      </c>
      <c r="C30">
        <v>70769550</v>
      </c>
    </row>
    <row r="31" spans="1:3" x14ac:dyDescent="0.25">
      <c r="A31" s="7" t="s">
        <v>124</v>
      </c>
      <c r="B31">
        <v>125802</v>
      </c>
      <c r="C31">
        <v>487026</v>
      </c>
    </row>
    <row r="32" spans="1:3" x14ac:dyDescent="0.25">
      <c r="A32" s="7" t="s">
        <v>125</v>
      </c>
      <c r="B32">
        <v>25571808</v>
      </c>
      <c r="C32">
        <v>38051296</v>
      </c>
    </row>
    <row r="33" spans="1:3" x14ac:dyDescent="0.25">
      <c r="A33" s="7" t="s">
        <v>113</v>
      </c>
      <c r="B33">
        <v>160944457</v>
      </c>
      <c r="C33">
        <v>580720672</v>
      </c>
    </row>
    <row r="34" spans="1:3" x14ac:dyDescent="0.25">
      <c r="A34" s="7" t="s">
        <v>114</v>
      </c>
      <c r="B34">
        <v>77501484</v>
      </c>
      <c r="C34">
        <v>566042689</v>
      </c>
    </row>
    <row r="35" spans="1:3" x14ac:dyDescent="0.25">
      <c r="A35" s="7" t="s">
        <v>126</v>
      </c>
      <c r="B35">
        <v>50460373</v>
      </c>
      <c r="C35">
        <v>144261767</v>
      </c>
    </row>
    <row r="36" spans="1:3" x14ac:dyDescent="0.25">
      <c r="A36" s="7" t="s">
        <v>111</v>
      </c>
      <c r="B36">
        <v>151668330</v>
      </c>
      <c r="C36">
        <v>373500318</v>
      </c>
    </row>
    <row r="37" spans="1:3" x14ac:dyDescent="0.25">
      <c r="A37" s="7" t="s">
        <v>112</v>
      </c>
      <c r="B37">
        <v>78173325</v>
      </c>
      <c r="C37">
        <v>550842863</v>
      </c>
    </row>
    <row r="38" spans="1:3" x14ac:dyDescent="0.25">
      <c r="A38" s="4" t="s">
        <v>115</v>
      </c>
      <c r="B38">
        <v>506695489</v>
      </c>
      <c r="C38">
        <v>1491812169</v>
      </c>
    </row>
    <row r="39" spans="1:3" x14ac:dyDescent="0.25">
      <c r="A39" s="7" t="s">
        <v>121</v>
      </c>
      <c r="B39">
        <v>455335</v>
      </c>
      <c r="C39">
        <v>1212580</v>
      </c>
    </row>
    <row r="40" spans="1:3" x14ac:dyDescent="0.25">
      <c r="A40" s="7" t="s">
        <v>122</v>
      </c>
      <c r="B40">
        <v>6041838</v>
      </c>
      <c r="C40">
        <v>10402874</v>
      </c>
    </row>
    <row r="41" spans="1:3" x14ac:dyDescent="0.25">
      <c r="A41" s="7" t="s">
        <v>123</v>
      </c>
      <c r="B41">
        <v>35994117</v>
      </c>
      <c r="C41">
        <v>80357591</v>
      </c>
    </row>
    <row r="42" spans="1:3" x14ac:dyDescent="0.25">
      <c r="A42" s="7" t="s">
        <v>124</v>
      </c>
      <c r="B42">
        <v>6325125</v>
      </c>
      <c r="C42">
        <v>32625621</v>
      </c>
    </row>
    <row r="43" spans="1:3" x14ac:dyDescent="0.25">
      <c r="A43" s="7" t="s">
        <v>125</v>
      </c>
      <c r="B43">
        <v>6390775</v>
      </c>
      <c r="C43">
        <v>329642502</v>
      </c>
    </row>
    <row r="44" spans="1:3" x14ac:dyDescent="0.25">
      <c r="A44" s="7" t="s">
        <v>113</v>
      </c>
      <c r="B44">
        <v>167854098</v>
      </c>
      <c r="C44">
        <v>420207288</v>
      </c>
    </row>
    <row r="45" spans="1:3" x14ac:dyDescent="0.25">
      <c r="A45" s="7" t="s">
        <v>114</v>
      </c>
      <c r="B45">
        <v>171992204</v>
      </c>
      <c r="C45">
        <v>430247824</v>
      </c>
    </row>
    <row r="46" spans="1:3" x14ac:dyDescent="0.25">
      <c r="A46" s="7" t="s">
        <v>126</v>
      </c>
      <c r="B46">
        <v>2315046</v>
      </c>
      <c r="C46">
        <v>8962398</v>
      </c>
    </row>
    <row r="47" spans="1:3" x14ac:dyDescent="0.25">
      <c r="A47" s="7" t="s">
        <v>111</v>
      </c>
      <c r="B47">
        <v>1840517</v>
      </c>
      <c r="C47">
        <v>7125321</v>
      </c>
    </row>
    <row r="48" spans="1:3" x14ac:dyDescent="0.25">
      <c r="A48" s="7" t="s">
        <v>112</v>
      </c>
      <c r="B48">
        <v>107486434</v>
      </c>
      <c r="C48">
        <v>171028170</v>
      </c>
    </row>
    <row r="49" spans="1:3" x14ac:dyDescent="0.25">
      <c r="A49" s="4" t="s">
        <v>116</v>
      </c>
      <c r="B49">
        <v>517777150</v>
      </c>
      <c r="C49">
        <v>1486165693</v>
      </c>
    </row>
    <row r="50" spans="1:3" x14ac:dyDescent="0.25">
      <c r="A50" s="7" t="s">
        <v>121</v>
      </c>
      <c r="B50">
        <v>532525</v>
      </c>
      <c r="C50">
        <v>17367625</v>
      </c>
    </row>
    <row r="51" spans="1:3" x14ac:dyDescent="0.25">
      <c r="A51" s="7" t="s">
        <v>122</v>
      </c>
      <c r="B51">
        <v>12281906</v>
      </c>
      <c r="C51">
        <v>40055873</v>
      </c>
    </row>
    <row r="52" spans="1:3" x14ac:dyDescent="0.25">
      <c r="A52" s="7" t="s">
        <v>123</v>
      </c>
      <c r="B52">
        <v>53288574</v>
      </c>
      <c r="C52">
        <v>141910152</v>
      </c>
    </row>
    <row r="53" spans="1:3" x14ac:dyDescent="0.25">
      <c r="A53" s="7" t="s">
        <v>117</v>
      </c>
      <c r="B53">
        <v>125974272</v>
      </c>
      <c r="C53">
        <v>312094869</v>
      </c>
    </row>
    <row r="54" spans="1:3" x14ac:dyDescent="0.25">
      <c r="A54" s="7" t="s">
        <v>124</v>
      </c>
      <c r="B54">
        <v>60359969</v>
      </c>
      <c r="C54">
        <v>142620967</v>
      </c>
    </row>
    <row r="55" spans="1:3" x14ac:dyDescent="0.25">
      <c r="A55" s="7" t="s">
        <v>125</v>
      </c>
      <c r="B55">
        <v>714157</v>
      </c>
      <c r="C55">
        <v>1901836</v>
      </c>
    </row>
    <row r="56" spans="1:3" x14ac:dyDescent="0.25">
      <c r="A56" s="7" t="s">
        <v>113</v>
      </c>
      <c r="B56">
        <v>8024184</v>
      </c>
      <c r="C56">
        <v>24313380</v>
      </c>
    </row>
    <row r="57" spans="1:3" x14ac:dyDescent="0.25">
      <c r="A57" s="7" t="s">
        <v>114</v>
      </c>
      <c r="B57">
        <v>53069667</v>
      </c>
      <c r="C57">
        <v>161398163</v>
      </c>
    </row>
    <row r="58" spans="1:3" x14ac:dyDescent="0.25">
      <c r="A58" s="7" t="s">
        <v>111</v>
      </c>
      <c r="B58">
        <v>1300918</v>
      </c>
      <c r="C58">
        <v>5036334</v>
      </c>
    </row>
    <row r="59" spans="1:3" x14ac:dyDescent="0.25">
      <c r="A59" s="7" t="s">
        <v>112</v>
      </c>
      <c r="B59">
        <v>86982336</v>
      </c>
      <c r="C59">
        <v>174751536</v>
      </c>
    </row>
    <row r="60" spans="1:3" x14ac:dyDescent="0.25">
      <c r="A60" s="7" t="s">
        <v>120</v>
      </c>
      <c r="B60">
        <v>115248642</v>
      </c>
      <c r="C60">
        <v>464714958</v>
      </c>
    </row>
    <row r="61" spans="1:3" x14ac:dyDescent="0.25">
      <c r="A61" s="4" t="s">
        <v>128</v>
      </c>
      <c r="B61">
        <v>179514826</v>
      </c>
      <c r="C61">
        <v>620023405</v>
      </c>
    </row>
    <row r="62" spans="1:3" x14ac:dyDescent="0.25">
      <c r="A62" s="7" t="s">
        <v>121</v>
      </c>
      <c r="B62">
        <v>13672725</v>
      </c>
      <c r="C62">
        <v>55132275</v>
      </c>
    </row>
    <row r="63" spans="1:3" x14ac:dyDescent="0.25">
      <c r="A63" s="7" t="s">
        <v>122</v>
      </c>
      <c r="B63">
        <v>78009553</v>
      </c>
      <c r="C63">
        <v>199967356</v>
      </c>
    </row>
    <row r="64" spans="1:3" x14ac:dyDescent="0.25">
      <c r="A64" s="7" t="s">
        <v>123</v>
      </c>
      <c r="B64">
        <v>12202978</v>
      </c>
      <c r="C64">
        <v>32497144</v>
      </c>
    </row>
    <row r="65" spans="1:3" x14ac:dyDescent="0.25">
      <c r="A65" s="7" t="s">
        <v>117</v>
      </c>
      <c r="B65">
        <v>850338</v>
      </c>
      <c r="C65">
        <v>2576535</v>
      </c>
    </row>
    <row r="66" spans="1:3" x14ac:dyDescent="0.25">
      <c r="A66" s="7" t="s">
        <v>124</v>
      </c>
      <c r="B66">
        <v>53919648</v>
      </c>
      <c r="C66">
        <v>80233376</v>
      </c>
    </row>
    <row r="67" spans="1:3" x14ac:dyDescent="0.25">
      <c r="A67" s="7" t="s">
        <v>114</v>
      </c>
      <c r="B67">
        <v>15973244</v>
      </c>
      <c r="C67">
        <v>52094702</v>
      </c>
    </row>
    <row r="68" spans="1:3" x14ac:dyDescent="0.25">
      <c r="A68" s="7" t="s">
        <v>126</v>
      </c>
      <c r="B68">
        <v>162193</v>
      </c>
      <c r="C68">
        <v>627909</v>
      </c>
    </row>
    <row r="69" spans="1:3" x14ac:dyDescent="0.25">
      <c r="A69" s="7" t="s">
        <v>112</v>
      </c>
      <c r="B69">
        <v>4724147</v>
      </c>
      <c r="C69">
        <v>196894108</v>
      </c>
    </row>
    <row r="70" spans="1:3" x14ac:dyDescent="0.25">
      <c r="A70" s="4" t="s">
        <v>129</v>
      </c>
      <c r="B70">
        <v>449490519</v>
      </c>
      <c r="C70">
        <v>1144855786</v>
      </c>
    </row>
    <row r="71" spans="1:3" x14ac:dyDescent="0.25">
      <c r="A71" s="7" t="s">
        <v>117</v>
      </c>
      <c r="B71">
        <v>8522358</v>
      </c>
      <c r="C71">
        <v>19780834</v>
      </c>
    </row>
    <row r="72" spans="1:3" x14ac:dyDescent="0.25">
      <c r="A72" s="7" t="s">
        <v>125</v>
      </c>
      <c r="B72">
        <v>9374805</v>
      </c>
      <c r="C72">
        <v>22987791</v>
      </c>
    </row>
    <row r="73" spans="1:3" x14ac:dyDescent="0.25">
      <c r="A73" s="7" t="s">
        <v>113</v>
      </c>
      <c r="B73">
        <v>41604177</v>
      </c>
      <c r="C73">
        <v>63477049</v>
      </c>
    </row>
    <row r="74" spans="1:3" x14ac:dyDescent="0.25">
      <c r="A74" s="7" t="s">
        <v>114</v>
      </c>
      <c r="B74">
        <v>112824243</v>
      </c>
      <c r="C74">
        <v>280369908</v>
      </c>
    </row>
    <row r="75" spans="1:3" x14ac:dyDescent="0.25">
      <c r="A75" s="7" t="s">
        <v>111</v>
      </c>
      <c r="B75">
        <v>1270542</v>
      </c>
      <c r="C75">
        <v>4143711</v>
      </c>
    </row>
    <row r="76" spans="1:3" x14ac:dyDescent="0.25">
      <c r="A76" s="7" t="s">
        <v>112</v>
      </c>
      <c r="B76">
        <v>729756</v>
      </c>
      <c r="C76">
        <v>2201117</v>
      </c>
    </row>
    <row r="77" spans="1:3" x14ac:dyDescent="0.25">
      <c r="A77" s="7" t="s">
        <v>120</v>
      </c>
      <c r="B77">
        <v>275164638</v>
      </c>
      <c r="C77">
        <v>751895376</v>
      </c>
    </row>
    <row r="78" spans="1:3" x14ac:dyDescent="0.25">
      <c r="A78" s="4" t="s">
        <v>130</v>
      </c>
      <c r="B78">
        <v>377594798</v>
      </c>
      <c r="C78">
        <v>1330093435</v>
      </c>
    </row>
    <row r="79" spans="1:3" x14ac:dyDescent="0.25">
      <c r="A79" s="7" t="s">
        <v>121</v>
      </c>
      <c r="B79">
        <v>63410196</v>
      </c>
      <c r="C79">
        <v>291413027</v>
      </c>
    </row>
    <row r="80" spans="1:3" x14ac:dyDescent="0.25">
      <c r="A80" s="7" t="s">
        <v>122</v>
      </c>
      <c r="B80">
        <v>189127180</v>
      </c>
      <c r="C80">
        <v>711500864</v>
      </c>
    </row>
    <row r="81" spans="1:3" x14ac:dyDescent="0.25">
      <c r="A81" s="7" t="s">
        <v>123</v>
      </c>
      <c r="B81">
        <v>755559</v>
      </c>
      <c r="C81">
        <v>24641595</v>
      </c>
    </row>
    <row r="82" spans="1:3" x14ac:dyDescent="0.25">
      <c r="A82" s="7" t="s">
        <v>124</v>
      </c>
      <c r="B82">
        <v>47618359</v>
      </c>
      <c r="C82">
        <v>131732557</v>
      </c>
    </row>
    <row r="83" spans="1:3" x14ac:dyDescent="0.25">
      <c r="A83" s="7" t="s">
        <v>125</v>
      </c>
      <c r="B83">
        <v>76683504</v>
      </c>
      <c r="C83">
        <v>170805392</v>
      </c>
    </row>
    <row r="84" spans="1:3" x14ac:dyDescent="0.25">
      <c r="A84" s="4" t="s">
        <v>104</v>
      </c>
      <c r="B84">
        <v>3310469514</v>
      </c>
      <c r="C84">
        <v>11220771199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6774-079C-42D9-969B-5AC9BE322864}">
  <dimension ref="A9:B22"/>
  <sheetViews>
    <sheetView showGridLines="0" workbookViewId="0">
      <selection activeCell="B10" sqref="B10:B21"/>
    </sheetView>
  </sheetViews>
  <sheetFormatPr defaultRowHeight="15" x14ac:dyDescent="0.25"/>
  <cols>
    <col min="1" max="1" width="14.5703125" bestFit="1" customWidth="1"/>
    <col min="2" max="2" width="23.140625" bestFit="1" customWidth="1"/>
  </cols>
  <sheetData>
    <row r="9" spans="1:2" x14ac:dyDescent="0.25">
      <c r="A9" s="3" t="s">
        <v>103</v>
      </c>
      <c r="B9" t="s">
        <v>106</v>
      </c>
    </row>
    <row r="10" spans="1:2" x14ac:dyDescent="0.25">
      <c r="A10" s="4" t="s">
        <v>34</v>
      </c>
      <c r="B10" s="16">
        <v>0.67203513909224022</v>
      </c>
    </row>
    <row r="11" spans="1:2" x14ac:dyDescent="0.25">
      <c r="A11" s="4" t="s">
        <v>14</v>
      </c>
      <c r="B11" s="16">
        <v>0.45817484394275593</v>
      </c>
    </row>
    <row r="12" spans="1:2" x14ac:dyDescent="0.25">
      <c r="A12" s="4" t="s">
        <v>40</v>
      </c>
      <c r="B12" s="16">
        <v>0.430173954753232</v>
      </c>
    </row>
    <row r="13" spans="1:2" x14ac:dyDescent="0.25">
      <c r="A13" s="4" t="s">
        <v>28</v>
      </c>
      <c r="B13" s="16">
        <v>0.40944895966970135</v>
      </c>
    </row>
    <row r="14" spans="1:2" x14ac:dyDescent="0.25">
      <c r="A14" s="4" t="s">
        <v>10</v>
      </c>
      <c r="B14" s="16">
        <v>0.37550924475086184</v>
      </c>
    </row>
    <row r="15" spans="1:2" x14ac:dyDescent="0.25">
      <c r="A15" s="4" t="s">
        <v>48</v>
      </c>
      <c r="B15" s="16">
        <v>0.36138419189933152</v>
      </c>
    </row>
    <row r="16" spans="1:2" x14ac:dyDescent="0.25">
      <c r="A16" s="4" t="s">
        <v>42</v>
      </c>
      <c r="B16" s="16">
        <v>0.32993441398714246</v>
      </c>
    </row>
    <row r="17" spans="1:2" x14ac:dyDescent="0.25">
      <c r="A17" s="4" t="s">
        <v>21</v>
      </c>
      <c r="B17" s="16">
        <v>0.25830653804930337</v>
      </c>
    </row>
    <row r="18" spans="1:2" x14ac:dyDescent="0.25">
      <c r="A18" s="4" t="s">
        <v>30</v>
      </c>
      <c r="B18" s="16">
        <v>0.25142787226232716</v>
      </c>
    </row>
    <row r="19" spans="1:2" x14ac:dyDescent="0.25">
      <c r="A19" s="4" t="s">
        <v>25</v>
      </c>
      <c r="B19" s="16">
        <v>0.24799856345489099</v>
      </c>
    </row>
    <row r="20" spans="1:2" x14ac:dyDescent="0.25">
      <c r="A20" s="4" t="s">
        <v>18</v>
      </c>
      <c r="B20" s="16">
        <v>0.10226635801047279</v>
      </c>
    </row>
    <row r="21" spans="1:2" x14ac:dyDescent="0.25">
      <c r="A21" s="4" t="s">
        <v>45</v>
      </c>
      <c r="B21" s="16">
        <v>1.3558036455000118E-2</v>
      </c>
    </row>
    <row r="22" spans="1:2" x14ac:dyDescent="0.25">
      <c r="A22" s="4" t="s">
        <v>104</v>
      </c>
      <c r="B22">
        <v>0.34928472029705832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5462-F26A-479A-BCBA-06899E31B876}">
  <dimension ref="A3:C26"/>
  <sheetViews>
    <sheetView showGridLines="0" topLeftCell="B1" workbookViewId="0">
      <selection activeCell="K12" sqref="K12"/>
    </sheetView>
  </sheetViews>
  <sheetFormatPr defaultRowHeight="15" x14ac:dyDescent="0.25"/>
  <cols>
    <col min="1" max="1" width="18.28515625" bestFit="1" customWidth="1"/>
    <col min="2" max="2" width="17.7109375" bestFit="1" customWidth="1"/>
    <col min="3" max="3" width="21.140625" bestFit="1" customWidth="1"/>
  </cols>
  <sheetData>
    <row r="3" spans="1:3" x14ac:dyDescent="0.25">
      <c r="A3" s="3" t="s">
        <v>103</v>
      </c>
      <c r="B3" t="s">
        <v>108</v>
      </c>
      <c r="C3" t="s">
        <v>109</v>
      </c>
    </row>
    <row r="4" spans="1:3" x14ac:dyDescent="0.25">
      <c r="A4" s="4" t="s">
        <v>59</v>
      </c>
      <c r="B4">
        <v>242531787</v>
      </c>
      <c r="C4">
        <v>80843929</v>
      </c>
    </row>
    <row r="5" spans="1:3" x14ac:dyDescent="0.25">
      <c r="A5" s="7" t="s">
        <v>14</v>
      </c>
      <c r="B5">
        <v>76683504</v>
      </c>
      <c r="C5">
        <v>76683504</v>
      </c>
    </row>
    <row r="6" spans="1:3" x14ac:dyDescent="0.25">
      <c r="A6" s="7" t="s">
        <v>40</v>
      </c>
      <c r="B6">
        <v>125447205</v>
      </c>
      <c r="C6">
        <v>125447205</v>
      </c>
    </row>
    <row r="7" spans="1:3" x14ac:dyDescent="0.25">
      <c r="A7" s="7" t="s">
        <v>48</v>
      </c>
      <c r="B7">
        <v>40401078</v>
      </c>
      <c r="C7">
        <v>40401078</v>
      </c>
    </row>
    <row r="8" spans="1:3" x14ac:dyDescent="0.25">
      <c r="A8" s="4" t="s">
        <v>86</v>
      </c>
      <c r="B8">
        <v>171992204</v>
      </c>
      <c r="C8">
        <v>171992204</v>
      </c>
    </row>
    <row r="9" spans="1:3" x14ac:dyDescent="0.25">
      <c r="A9" s="7" t="s">
        <v>40</v>
      </c>
      <c r="B9">
        <v>171992204</v>
      </c>
      <c r="C9">
        <v>171992204</v>
      </c>
    </row>
    <row r="10" spans="1:3" x14ac:dyDescent="0.25">
      <c r="A10" s="4" t="s">
        <v>91</v>
      </c>
      <c r="B10">
        <v>167854098</v>
      </c>
      <c r="C10">
        <v>167854098</v>
      </c>
    </row>
    <row r="11" spans="1:3" x14ac:dyDescent="0.25">
      <c r="A11" s="7" t="s">
        <v>40</v>
      </c>
      <c r="B11">
        <v>167854098</v>
      </c>
      <c r="C11">
        <v>167854098</v>
      </c>
    </row>
    <row r="12" spans="1:3" x14ac:dyDescent="0.25">
      <c r="A12" s="4" t="s">
        <v>67</v>
      </c>
      <c r="B12">
        <v>154170529</v>
      </c>
      <c r="C12">
        <v>154170529</v>
      </c>
    </row>
    <row r="13" spans="1:3" x14ac:dyDescent="0.25">
      <c r="A13" s="7" t="s">
        <v>40</v>
      </c>
      <c r="B13">
        <v>154170529</v>
      </c>
      <c r="C13">
        <v>154170529</v>
      </c>
    </row>
    <row r="14" spans="1:3" x14ac:dyDescent="0.25">
      <c r="A14" s="4" t="s">
        <v>64</v>
      </c>
      <c r="B14">
        <v>151292683</v>
      </c>
      <c r="C14">
        <v>75646341.5</v>
      </c>
    </row>
    <row r="15" spans="1:3" x14ac:dyDescent="0.25">
      <c r="A15" s="7" t="s">
        <v>40</v>
      </c>
      <c r="B15">
        <v>125777558</v>
      </c>
      <c r="C15">
        <v>125777558</v>
      </c>
    </row>
    <row r="16" spans="1:3" x14ac:dyDescent="0.25">
      <c r="A16" s="7" t="s">
        <v>18</v>
      </c>
      <c r="B16">
        <v>25515125</v>
      </c>
      <c r="C16">
        <v>25515125</v>
      </c>
    </row>
    <row r="17" spans="1:3" x14ac:dyDescent="0.25">
      <c r="A17" s="4" t="s">
        <v>55</v>
      </c>
      <c r="B17">
        <v>151272945</v>
      </c>
      <c r="C17">
        <v>75636472.5</v>
      </c>
    </row>
    <row r="18" spans="1:3" x14ac:dyDescent="0.25">
      <c r="A18" s="7" t="s">
        <v>40</v>
      </c>
      <c r="B18">
        <v>150588807</v>
      </c>
      <c r="C18">
        <v>150588807</v>
      </c>
    </row>
    <row r="19" spans="1:3" x14ac:dyDescent="0.25">
      <c r="A19" s="7" t="s">
        <v>30</v>
      </c>
      <c r="B19">
        <v>684138</v>
      </c>
      <c r="C19">
        <v>684138</v>
      </c>
    </row>
    <row r="20" spans="1:3" x14ac:dyDescent="0.25">
      <c r="A20" s="4" t="s">
        <v>36</v>
      </c>
      <c r="B20">
        <v>149952967</v>
      </c>
      <c r="C20">
        <v>74976483.5</v>
      </c>
    </row>
    <row r="21" spans="1:3" x14ac:dyDescent="0.25">
      <c r="A21" s="7" t="s">
        <v>25</v>
      </c>
      <c r="B21">
        <v>148726102</v>
      </c>
      <c r="C21">
        <v>148726102</v>
      </c>
    </row>
    <row r="22" spans="1:3" x14ac:dyDescent="0.25">
      <c r="A22" s="7" t="s">
        <v>48</v>
      </c>
      <c r="B22">
        <v>1226865</v>
      </c>
      <c r="C22">
        <v>1226865</v>
      </c>
    </row>
    <row r="23" spans="1:3" x14ac:dyDescent="0.25">
      <c r="A23" s="4" t="s">
        <v>87</v>
      </c>
      <c r="B23">
        <v>145794276</v>
      </c>
      <c r="C23">
        <v>48598092</v>
      </c>
    </row>
    <row r="24" spans="1:3" x14ac:dyDescent="0.25">
      <c r="A24" s="7" t="s">
        <v>25</v>
      </c>
      <c r="B24">
        <v>115248642</v>
      </c>
      <c r="C24">
        <v>115248642</v>
      </c>
    </row>
    <row r="25" spans="1:3" x14ac:dyDescent="0.25">
      <c r="A25" s="7" t="s">
        <v>30</v>
      </c>
      <c r="B25">
        <v>30545634</v>
      </c>
      <c r="C25">
        <v>15272817</v>
      </c>
    </row>
    <row r="26" spans="1:3" x14ac:dyDescent="0.25">
      <c r="A26" s="4" t="s">
        <v>104</v>
      </c>
      <c r="B26">
        <v>1334861489</v>
      </c>
      <c r="C26">
        <v>88990765.933333337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31F6-6673-41A4-B1C2-2BFA7839360F}">
  <dimension ref="A3:D17"/>
  <sheetViews>
    <sheetView showGridLines="0" workbookViewId="0">
      <selection activeCell="D11" sqref="D11"/>
    </sheetView>
  </sheetViews>
  <sheetFormatPr defaultRowHeight="15" x14ac:dyDescent="0.25"/>
  <cols>
    <col min="1" max="1" width="23.140625" bestFit="1" customWidth="1"/>
    <col min="2" max="2" width="16.28515625" bestFit="1" customWidth="1"/>
    <col min="3" max="3" width="9.140625" bestFit="1" customWidth="1"/>
    <col min="4" max="4" width="11.28515625" bestFit="1" customWidth="1"/>
  </cols>
  <sheetData>
    <row r="3" spans="1:4" x14ac:dyDescent="0.25">
      <c r="A3" s="3" t="s">
        <v>106</v>
      </c>
      <c r="B3" s="3" t="s">
        <v>110</v>
      </c>
    </row>
    <row r="4" spans="1:4" x14ac:dyDescent="0.25">
      <c r="A4" s="3" t="s">
        <v>103</v>
      </c>
      <c r="B4" t="s">
        <v>15</v>
      </c>
      <c r="C4" t="s">
        <v>11</v>
      </c>
      <c r="D4" t="s">
        <v>104</v>
      </c>
    </row>
    <row r="5" spans="1:4" x14ac:dyDescent="0.25">
      <c r="A5" s="4" t="s">
        <v>10</v>
      </c>
      <c r="B5" s="8">
        <v>0.37550924475086178</v>
      </c>
      <c r="C5" s="8">
        <v>0.37550924475086173</v>
      </c>
      <c r="D5" s="8">
        <v>0.37550924475086184</v>
      </c>
    </row>
    <row r="6" spans="1:4" x14ac:dyDescent="0.25">
      <c r="A6" s="4" t="s">
        <v>42</v>
      </c>
      <c r="B6" s="8">
        <v>0.33003161222339306</v>
      </c>
      <c r="C6" s="8">
        <v>0.32990201457505897</v>
      </c>
      <c r="D6" s="8">
        <v>0.32993441398714252</v>
      </c>
    </row>
    <row r="7" spans="1:4" x14ac:dyDescent="0.25">
      <c r="A7" s="4" t="s">
        <v>14</v>
      </c>
      <c r="B7" s="8">
        <v>0.44000046323083658</v>
      </c>
      <c r="C7" s="8">
        <v>0.48240735155864822</v>
      </c>
      <c r="D7" s="8">
        <v>0.45817484394275582</v>
      </c>
    </row>
    <row r="8" spans="1:4" x14ac:dyDescent="0.25">
      <c r="A8" s="4" t="s">
        <v>34</v>
      </c>
      <c r="B8" s="8">
        <v>0.67203513909224011</v>
      </c>
      <c r="C8" s="8">
        <v>0.67203513909224011</v>
      </c>
      <c r="D8" s="8">
        <v>0.67203513909224022</v>
      </c>
    </row>
    <row r="9" spans="1:4" x14ac:dyDescent="0.25">
      <c r="A9" s="4" t="s">
        <v>40</v>
      </c>
      <c r="B9" s="8">
        <v>0.39821234128980382</v>
      </c>
      <c r="C9" s="8">
        <v>0.4575696234361703</v>
      </c>
      <c r="D9" s="8">
        <v>0.430173954753232</v>
      </c>
    </row>
    <row r="10" spans="1:4" x14ac:dyDescent="0.25">
      <c r="A10" s="4" t="s">
        <v>21</v>
      </c>
      <c r="B10" s="8">
        <v>0.25830653804930331</v>
      </c>
      <c r="C10" s="8">
        <v>0.25830653804930331</v>
      </c>
      <c r="D10" s="8">
        <v>0.25830653804930337</v>
      </c>
    </row>
    <row r="11" spans="1:4" x14ac:dyDescent="0.25">
      <c r="A11" s="4" t="s">
        <v>25</v>
      </c>
      <c r="B11" s="8">
        <v>0.24799856345489099</v>
      </c>
      <c r="C11" s="8">
        <v>0.24799856345489096</v>
      </c>
      <c r="D11" s="8">
        <v>0.24799856345489099</v>
      </c>
    </row>
    <row r="12" spans="1:4" x14ac:dyDescent="0.25">
      <c r="A12" s="4" t="s">
        <v>45</v>
      </c>
      <c r="B12" s="8">
        <v>1.3558036455000118E-2</v>
      </c>
      <c r="C12" s="8"/>
      <c r="D12" s="8">
        <v>1.3558036455000118E-2</v>
      </c>
    </row>
    <row r="13" spans="1:4" x14ac:dyDescent="0.25">
      <c r="A13" s="4" t="s">
        <v>18</v>
      </c>
      <c r="B13" s="8">
        <v>0.10081233396293054</v>
      </c>
      <c r="C13" s="8">
        <v>0.10372038205801508</v>
      </c>
      <c r="D13" s="8">
        <v>0.1022663580104728</v>
      </c>
    </row>
    <row r="14" spans="1:4" x14ac:dyDescent="0.25">
      <c r="A14" s="4" t="s">
        <v>30</v>
      </c>
      <c r="B14" s="8">
        <v>0.21463354949223054</v>
      </c>
      <c r="C14" s="8">
        <v>0.26719686773522577</v>
      </c>
      <c r="D14" s="8">
        <v>0.25142787226232716</v>
      </c>
    </row>
    <row r="15" spans="1:4" x14ac:dyDescent="0.25">
      <c r="A15" s="4" t="s">
        <v>48</v>
      </c>
      <c r="B15" s="8">
        <v>0.36138419189933152</v>
      </c>
      <c r="C15" s="8"/>
      <c r="D15" s="8">
        <v>0.36138419189933152</v>
      </c>
    </row>
    <row r="16" spans="1:4" x14ac:dyDescent="0.25">
      <c r="A16" s="4" t="s">
        <v>28</v>
      </c>
      <c r="B16" s="8">
        <v>0.40977541217707386</v>
      </c>
      <c r="C16" s="8">
        <v>0.40879605465495639</v>
      </c>
      <c r="D16" s="8">
        <v>0.40944895966970135</v>
      </c>
    </row>
    <row r="17" spans="1:4" x14ac:dyDescent="0.25">
      <c r="A17" s="4" t="s">
        <v>104</v>
      </c>
      <c r="B17" s="8">
        <v>0.34658435790355929</v>
      </c>
      <c r="C17" s="8">
        <v>0.35198508269055667</v>
      </c>
      <c r="D17" s="8">
        <v>0.34928472029705804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B5EAF-601C-415C-AB3C-9580A133F75D}">
  <sheetPr>
    <pageSetUpPr fitToPage="1"/>
  </sheetPr>
  <dimension ref="U8:AO24"/>
  <sheetViews>
    <sheetView showGridLines="0" tabSelected="1" zoomScale="37" zoomScaleNormal="37" workbookViewId="0">
      <selection activeCell="AY26" sqref="AY26"/>
    </sheetView>
  </sheetViews>
  <sheetFormatPr defaultRowHeight="15" x14ac:dyDescent="0.25"/>
  <cols>
    <col min="1" max="20" width="9.140625" style="5"/>
    <col min="23" max="23" width="18.42578125" bestFit="1" customWidth="1"/>
    <col min="24" max="16384" width="9.140625" style="5"/>
  </cols>
  <sheetData>
    <row r="8" spans="21:41" ht="26.25" x14ac:dyDescent="0.25">
      <c r="AA8" s="21">
        <f>'Analisis Penjualan Tahunan-Bula'!$C$84</f>
        <v>11220771199</v>
      </c>
      <c r="AB8" s="21"/>
      <c r="AC8" s="21"/>
      <c r="AD8" s="21"/>
      <c r="AE8" s="21"/>
      <c r="AF8" s="21"/>
    </row>
    <row r="12" spans="21:41" ht="27.75" x14ac:dyDescent="0.4">
      <c r="U12" s="19"/>
      <c r="V12" s="19"/>
      <c r="W12" s="19"/>
      <c r="X12" s="19"/>
      <c r="Y12" s="19"/>
    </row>
    <row r="15" spans="21:41" ht="26.25" x14ac:dyDescent="0.4">
      <c r="U15" s="17"/>
      <c r="V15" s="20"/>
      <c r="W15" s="20"/>
      <c r="X15" s="20"/>
      <c r="Y15" s="20"/>
      <c r="AA15" s="17">
        <f>'Analisis Penjualan Tahunan-Bula'!$B$84</f>
        <v>3310469514</v>
      </c>
      <c r="AB15" s="17"/>
      <c r="AC15" s="17"/>
      <c r="AD15" s="17"/>
      <c r="AE15" s="17"/>
      <c r="AF15" s="17"/>
      <c r="AO15" s="13"/>
    </row>
    <row r="16" spans="21:41" x14ac:dyDescent="0.25">
      <c r="U16" s="20"/>
      <c r="V16" s="20"/>
      <c r="W16" s="20"/>
      <c r="X16" s="20"/>
      <c r="Y16" s="20"/>
    </row>
    <row r="24" spans="27:32" ht="26.25" x14ac:dyDescent="0.25">
      <c r="AA24" s="18">
        <f>'Analisis Profitabilitas Produk'!B22</f>
        <v>0.34928472029705832</v>
      </c>
      <c r="AB24" s="18"/>
      <c r="AC24" s="18"/>
      <c r="AD24" s="18"/>
      <c r="AE24" s="18"/>
      <c r="AF24" s="18"/>
    </row>
  </sheetData>
  <mergeCells count="5">
    <mergeCell ref="AA15:AF15"/>
    <mergeCell ref="AA24:AF24"/>
    <mergeCell ref="U12:Y12"/>
    <mergeCell ref="U15:Y16"/>
    <mergeCell ref="AA8:AF8"/>
  </mergeCells>
  <pageMargins left="0.7" right="0.7" top="0.75" bottom="0.75" header="0.3" footer="0.3"/>
  <pageSetup scale="3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 DATA CLEANING SALES</vt:lpstr>
      <vt:lpstr>Analisis Penjualan Tahunan-Bula</vt:lpstr>
      <vt:lpstr>Analisis Profitabilitas Produk</vt:lpstr>
      <vt:lpstr>Profit-Driving Countries</vt:lpstr>
      <vt:lpstr>Analisis Efisiensi Saluran</vt:lpstr>
      <vt:lpstr>Dashboard &amp; Key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2025-12-28T02:07:37Z</cp:lastPrinted>
  <dcterms:created xsi:type="dcterms:W3CDTF">2025-12-12T09:59:35Z</dcterms:created>
  <dcterms:modified xsi:type="dcterms:W3CDTF">2025-12-28T16:46:13Z</dcterms:modified>
</cp:coreProperties>
</file>